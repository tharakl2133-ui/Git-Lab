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2695" windowHeight="11190" firstSheet="7" activeTab="10"/>
  </bookViews>
  <sheets>
    <sheet name="Course Information" sheetId="1" r:id="rId1"/>
    <sheet name="Evaluation" sheetId="2" r:id="rId2"/>
    <sheet name="IA1 Attainment" sheetId="3" r:id="rId3"/>
    <sheet name="IA2 Attainment" sheetId="4" r:id="rId4"/>
    <sheet name="Overall Attainment" sheetId="5" r:id="rId5"/>
    <sheet name="Course Closure Report" sheetId="6" r:id="rId6"/>
    <sheet name="IA1 Summary" sheetId="7" r:id="rId7"/>
    <sheet name="IA2 Summary" sheetId="8" r:id="rId8"/>
    <sheet name="Overall Summary" sheetId="9" r:id="rId9"/>
    <sheet name="COs &amp; Mapping" sheetId="10" r:id="rId10"/>
    <sheet name="Justification" sheetId="11" r:id="rId11"/>
    <sheet name="Individual TT" sheetId="12" r:id="rId12"/>
    <sheet name="Lesson_Theory" sheetId="13" r:id="rId13"/>
    <sheet name="Lesson_Lab" sheetId="14" r:id="rId14"/>
    <sheet name="Lesson_IPCC" sheetId="15" r:id="rId15"/>
    <sheet name="Remedial TT" sheetId="16" r:id="rId16"/>
    <sheet name="ATR - Remedial Class" sheetId="17" r:id="rId17"/>
    <sheet name="ATR - Additional Support" sheetId="18" r:id="rId18"/>
    <sheet name="Circular" sheetId="19" r:id="rId19"/>
    <sheet name="Submission" sheetId="20" r:id="rId20"/>
    <sheet name="2022 Scheme_IA_OMR" sheetId="21" r:id="rId21"/>
    <sheet name="2022 Scheme_IA_QP_50 Marks" sheetId="22" r:id="rId22"/>
    <sheet name="2022 Scheme_IA_Scheme_50 Marks" sheetId="23" r:id="rId23"/>
  </sheets>
  <externalReferences>
    <externalReference r:id="rId24"/>
  </externalReferences>
  <calcPr calcId="144525"/>
  <extLst>
    <ext uri="GoogleSheetsCustomDataVersion2">
      <go:sheetsCustomData xmlns:go="http://customooxmlschemas.google.com/" r:id="" roundtripDataChecksum="emRyFUwhn6MnVu1A67ySRuexc+5f4HNu1DNP353bYWI="/>
    </ext>
  </extLst>
</workbook>
</file>

<file path=xl/calcChain.xml><?xml version="1.0" encoding="utf-8"?>
<calcChain xmlns="http://schemas.openxmlformats.org/spreadsheetml/2006/main">
  <c r="C10" i="23" l="1"/>
  <c r="F8" i="23"/>
  <c r="C7" i="23"/>
  <c r="F6" i="23"/>
  <c r="C6" i="23"/>
  <c r="D9" i="22"/>
  <c r="H7" i="22"/>
  <c r="D6" i="22"/>
  <c r="H5" i="22"/>
  <c r="D5" i="22"/>
  <c r="E7" i="21"/>
  <c r="C6" i="21"/>
  <c r="E5" i="21"/>
  <c r="C5" i="21"/>
  <c r="C5" i="18"/>
  <c r="C7" i="17"/>
  <c r="C6" i="17"/>
  <c r="C5" i="17"/>
  <c r="E6" i="16"/>
  <c r="C6" i="16"/>
  <c r="C5" i="16"/>
  <c r="C7" i="15"/>
  <c r="G6" i="15"/>
  <c r="C6" i="15"/>
  <c r="E5" i="15"/>
  <c r="C5" i="15"/>
  <c r="C7" i="14"/>
  <c r="E5" i="14"/>
  <c r="C5" i="14"/>
  <c r="C6" i="12"/>
  <c r="C5" i="12"/>
  <c r="C7" i="11"/>
  <c r="K5" i="11"/>
  <c r="C5" i="11"/>
  <c r="F28" i="10"/>
  <c r="F27" i="10"/>
  <c r="F26" i="10"/>
  <c r="F25" i="10"/>
  <c r="F24" i="10"/>
  <c r="L20" i="10"/>
  <c r="K20" i="10"/>
  <c r="J20" i="10"/>
  <c r="I20" i="10"/>
  <c r="H20" i="10"/>
  <c r="G20" i="10"/>
  <c r="E20" i="10"/>
  <c r="D20" i="10"/>
  <c r="B20" i="10"/>
  <c r="L19" i="10"/>
  <c r="K19" i="10"/>
  <c r="J19" i="10"/>
  <c r="I19" i="10"/>
  <c r="H19" i="10"/>
  <c r="G19" i="10"/>
  <c r="E19" i="10"/>
  <c r="D19" i="10"/>
  <c r="B19" i="10"/>
  <c r="L18" i="10"/>
  <c r="K18" i="10"/>
  <c r="I18" i="10"/>
  <c r="H18" i="10"/>
  <c r="G18" i="10"/>
  <c r="E18" i="10"/>
  <c r="D18" i="10"/>
  <c r="C18" i="10"/>
  <c r="B18" i="10"/>
  <c r="L17" i="10"/>
  <c r="K17" i="10"/>
  <c r="I17" i="10"/>
  <c r="H17" i="10"/>
  <c r="G17" i="10"/>
  <c r="E17" i="10"/>
  <c r="D17" i="10"/>
  <c r="B17" i="10"/>
  <c r="L16" i="10"/>
  <c r="K16" i="10"/>
  <c r="J16" i="10"/>
  <c r="I16" i="10"/>
  <c r="H16" i="10"/>
  <c r="G16" i="10"/>
  <c r="E16" i="10"/>
  <c r="D16" i="10"/>
  <c r="B16" i="10"/>
  <c r="C7" i="10"/>
  <c r="K5" i="10"/>
  <c r="C5" i="10"/>
  <c r="K76" i="9"/>
  <c r="H76" i="9"/>
  <c r="G76" i="9"/>
  <c r="C76" i="9"/>
  <c r="B76" i="9"/>
  <c r="K75" i="9"/>
  <c r="H75" i="9"/>
  <c r="G75" i="9"/>
  <c r="D75" i="9"/>
  <c r="C75" i="9"/>
  <c r="B75" i="9"/>
  <c r="K74" i="9"/>
  <c r="H74" i="9"/>
  <c r="G74" i="9"/>
  <c r="C74" i="9"/>
  <c r="B74" i="9"/>
  <c r="K73" i="9"/>
  <c r="H73" i="9"/>
  <c r="G73" i="9"/>
  <c r="C73" i="9"/>
  <c r="B73" i="9"/>
  <c r="K72" i="9"/>
  <c r="H72" i="9"/>
  <c r="G72" i="9"/>
  <c r="D72" i="9"/>
  <c r="C72" i="9"/>
  <c r="B72" i="9"/>
  <c r="K71" i="9"/>
  <c r="H71" i="9"/>
  <c r="G71" i="9"/>
  <c r="C71" i="9"/>
  <c r="B71" i="9"/>
  <c r="K70" i="9"/>
  <c r="H70" i="9"/>
  <c r="G70" i="9"/>
  <c r="E70" i="9"/>
  <c r="C70" i="9"/>
  <c r="B70" i="9"/>
  <c r="K69" i="9"/>
  <c r="H69" i="9"/>
  <c r="G69" i="9"/>
  <c r="C69" i="9"/>
  <c r="B69" i="9"/>
  <c r="K68" i="9"/>
  <c r="H68" i="9"/>
  <c r="G68" i="9"/>
  <c r="C68" i="9"/>
  <c r="B68" i="9"/>
  <c r="K67" i="9"/>
  <c r="H67" i="9"/>
  <c r="G67" i="9"/>
  <c r="C67" i="9"/>
  <c r="B67" i="9"/>
  <c r="K66" i="9"/>
  <c r="H66" i="9"/>
  <c r="G66" i="9"/>
  <c r="C66" i="9"/>
  <c r="B66" i="9"/>
  <c r="K65" i="9"/>
  <c r="H65" i="9"/>
  <c r="G65" i="9"/>
  <c r="C65" i="9"/>
  <c r="B65" i="9"/>
  <c r="K64" i="9"/>
  <c r="H64" i="9"/>
  <c r="G64" i="9"/>
  <c r="C64" i="9"/>
  <c r="B64" i="9"/>
  <c r="K63" i="9"/>
  <c r="H63" i="9"/>
  <c r="G63" i="9"/>
  <c r="D63" i="9"/>
  <c r="C63" i="9"/>
  <c r="B63" i="9"/>
  <c r="K62" i="9"/>
  <c r="H62" i="9"/>
  <c r="G62" i="9"/>
  <c r="C62" i="9"/>
  <c r="B62" i="9"/>
  <c r="K61" i="9"/>
  <c r="H61" i="9"/>
  <c r="G61" i="9"/>
  <c r="C61" i="9"/>
  <c r="B61" i="9"/>
  <c r="K60" i="9"/>
  <c r="H60" i="9"/>
  <c r="G60" i="9"/>
  <c r="D60" i="9"/>
  <c r="C60" i="9"/>
  <c r="B60" i="9"/>
  <c r="K59" i="9"/>
  <c r="H59" i="9"/>
  <c r="G59" i="9"/>
  <c r="C59" i="9"/>
  <c r="B59" i="9"/>
  <c r="K58" i="9"/>
  <c r="H58" i="9"/>
  <c r="G58" i="9"/>
  <c r="C58" i="9"/>
  <c r="B58" i="9"/>
  <c r="K57" i="9"/>
  <c r="H57" i="9"/>
  <c r="G57" i="9"/>
  <c r="C57" i="9"/>
  <c r="B57" i="9"/>
  <c r="K56" i="9"/>
  <c r="H56" i="9"/>
  <c r="G56" i="9"/>
  <c r="C56" i="9"/>
  <c r="B56" i="9"/>
  <c r="K55" i="9"/>
  <c r="H55" i="9"/>
  <c r="G55" i="9"/>
  <c r="D55" i="9"/>
  <c r="C55" i="9"/>
  <c r="B55" i="9"/>
  <c r="K54" i="9"/>
  <c r="H54" i="9"/>
  <c r="G54" i="9"/>
  <c r="C54" i="9"/>
  <c r="B54" i="9"/>
  <c r="K53" i="9"/>
  <c r="H53" i="9"/>
  <c r="G53" i="9"/>
  <c r="D53" i="9"/>
  <c r="C53" i="9"/>
  <c r="B53" i="9"/>
  <c r="K52" i="9"/>
  <c r="H52" i="9"/>
  <c r="G52" i="9"/>
  <c r="C52" i="9"/>
  <c r="B52" i="9"/>
  <c r="K51" i="9"/>
  <c r="H51" i="9"/>
  <c r="G51" i="9"/>
  <c r="D51" i="9"/>
  <c r="C51" i="9"/>
  <c r="B51" i="9"/>
  <c r="K50" i="9"/>
  <c r="H50" i="9"/>
  <c r="G50" i="9"/>
  <c r="C50" i="9"/>
  <c r="B50" i="9"/>
  <c r="K49" i="9"/>
  <c r="H49" i="9"/>
  <c r="G49" i="9"/>
  <c r="C49" i="9"/>
  <c r="B49" i="9"/>
  <c r="K48" i="9"/>
  <c r="H48" i="9"/>
  <c r="G48" i="9"/>
  <c r="D48" i="9"/>
  <c r="C48" i="9"/>
  <c r="B48" i="9"/>
  <c r="K47" i="9"/>
  <c r="H47" i="9"/>
  <c r="G47" i="9"/>
  <c r="C47" i="9"/>
  <c r="B47" i="9"/>
  <c r="K46" i="9"/>
  <c r="H46" i="9"/>
  <c r="G46" i="9"/>
  <c r="E46" i="9"/>
  <c r="C46" i="9"/>
  <c r="B46" i="9"/>
  <c r="K45" i="9"/>
  <c r="H45" i="9"/>
  <c r="G45" i="9"/>
  <c r="C45" i="9"/>
  <c r="B45" i="9"/>
  <c r="K44" i="9"/>
  <c r="H44" i="9"/>
  <c r="G44" i="9"/>
  <c r="C44" i="9"/>
  <c r="B44" i="9"/>
  <c r="K43" i="9"/>
  <c r="H43" i="9"/>
  <c r="G43" i="9"/>
  <c r="C43" i="9"/>
  <c r="B43" i="9"/>
  <c r="K42" i="9"/>
  <c r="H42" i="9"/>
  <c r="G42" i="9"/>
  <c r="C42" i="9"/>
  <c r="B42" i="9"/>
  <c r="K41" i="9"/>
  <c r="H41" i="9"/>
  <c r="G41" i="9"/>
  <c r="C41" i="9"/>
  <c r="B41" i="9"/>
  <c r="K40" i="9"/>
  <c r="H40" i="9"/>
  <c r="G40" i="9"/>
  <c r="C40" i="9"/>
  <c r="B40" i="9"/>
  <c r="K39" i="9"/>
  <c r="H39" i="9"/>
  <c r="G39" i="9"/>
  <c r="D39" i="9"/>
  <c r="C39" i="9"/>
  <c r="B39" i="9"/>
  <c r="K38" i="9"/>
  <c r="H38" i="9"/>
  <c r="G38" i="9"/>
  <c r="C38" i="9"/>
  <c r="B38" i="9"/>
  <c r="K37" i="9"/>
  <c r="H37" i="9"/>
  <c r="G37" i="9"/>
  <c r="C37" i="9"/>
  <c r="B37" i="9"/>
  <c r="K36" i="9"/>
  <c r="H36" i="9"/>
  <c r="G36" i="9"/>
  <c r="D36" i="9"/>
  <c r="C36" i="9"/>
  <c r="B36" i="9"/>
  <c r="K35" i="9"/>
  <c r="H35" i="9"/>
  <c r="G35" i="9"/>
  <c r="C35" i="9"/>
  <c r="B35" i="9"/>
  <c r="K34" i="9"/>
  <c r="H34" i="9"/>
  <c r="G34" i="9"/>
  <c r="C34" i="9"/>
  <c r="B34" i="9"/>
  <c r="K33" i="9"/>
  <c r="H33" i="9"/>
  <c r="G33" i="9"/>
  <c r="C33" i="9"/>
  <c r="B33" i="9"/>
  <c r="K32" i="9"/>
  <c r="H32" i="9"/>
  <c r="G32" i="9"/>
  <c r="C32" i="9"/>
  <c r="B32" i="9"/>
  <c r="K31" i="9"/>
  <c r="H31" i="9"/>
  <c r="G31" i="9"/>
  <c r="D31" i="9"/>
  <c r="C31" i="9"/>
  <c r="B31" i="9"/>
  <c r="K30" i="9"/>
  <c r="H30" i="9"/>
  <c r="G30" i="9"/>
  <c r="C30" i="9"/>
  <c r="B30" i="9"/>
  <c r="K29" i="9"/>
  <c r="H29" i="9"/>
  <c r="G29" i="9"/>
  <c r="D29" i="9"/>
  <c r="C29" i="9"/>
  <c r="B29" i="9"/>
  <c r="K28" i="9"/>
  <c r="H28" i="9"/>
  <c r="G28" i="9"/>
  <c r="C28" i="9"/>
  <c r="B28" i="9"/>
  <c r="K27" i="9"/>
  <c r="H27" i="9"/>
  <c r="G27" i="9"/>
  <c r="D27" i="9"/>
  <c r="C27" i="9"/>
  <c r="B27" i="9"/>
  <c r="K26" i="9"/>
  <c r="H26" i="9"/>
  <c r="G26" i="9"/>
  <c r="C26" i="9"/>
  <c r="B26" i="9"/>
  <c r="K25" i="9"/>
  <c r="H25" i="9"/>
  <c r="G25" i="9"/>
  <c r="C25" i="9"/>
  <c r="B25" i="9"/>
  <c r="K24" i="9"/>
  <c r="H24" i="9"/>
  <c r="G24" i="9"/>
  <c r="D24" i="9"/>
  <c r="C24" i="9"/>
  <c r="B24" i="9"/>
  <c r="K23" i="9"/>
  <c r="H23" i="9"/>
  <c r="G23" i="9"/>
  <c r="C23" i="9"/>
  <c r="B23" i="9"/>
  <c r="K22" i="9"/>
  <c r="H22" i="9"/>
  <c r="G22" i="9"/>
  <c r="E22" i="9"/>
  <c r="C22" i="9"/>
  <c r="B22" i="9"/>
  <c r="K21" i="9"/>
  <c r="H21" i="9"/>
  <c r="G21" i="9"/>
  <c r="C21" i="9"/>
  <c r="B21" i="9"/>
  <c r="K20" i="9"/>
  <c r="H20" i="9"/>
  <c r="G20" i="9"/>
  <c r="C20" i="9"/>
  <c r="B20" i="9"/>
  <c r="K19" i="9"/>
  <c r="H19" i="9"/>
  <c r="G19" i="9"/>
  <c r="C19" i="9"/>
  <c r="B19" i="9"/>
  <c r="K18" i="9"/>
  <c r="H18" i="9"/>
  <c r="G18" i="9"/>
  <c r="C18" i="9"/>
  <c r="B18" i="9"/>
  <c r="K17" i="9"/>
  <c r="H17" i="9"/>
  <c r="G17" i="9"/>
  <c r="D17" i="9"/>
  <c r="C17" i="9"/>
  <c r="B17" i="9"/>
  <c r="K16" i="9"/>
  <c r="H16" i="9"/>
  <c r="G16" i="9"/>
  <c r="C16" i="9"/>
  <c r="B16" i="9"/>
  <c r="K15" i="9"/>
  <c r="H15" i="9"/>
  <c r="G15" i="9"/>
  <c r="D15" i="9"/>
  <c r="C15" i="9"/>
  <c r="B15" i="9"/>
  <c r="K14" i="9"/>
  <c r="H14" i="9"/>
  <c r="G14" i="9"/>
  <c r="C14" i="9"/>
  <c r="B14" i="9"/>
  <c r="K13" i="9"/>
  <c r="H13" i="9"/>
  <c r="G13" i="9"/>
  <c r="C13" i="9"/>
  <c r="B13" i="9"/>
  <c r="K12" i="9"/>
  <c r="H12" i="9"/>
  <c r="G12" i="9"/>
  <c r="D12" i="9"/>
  <c r="C12" i="9"/>
  <c r="B12" i="9"/>
  <c r="K11" i="9"/>
  <c r="H11" i="9"/>
  <c r="G11" i="9"/>
  <c r="C11" i="9"/>
  <c r="B11" i="9"/>
  <c r="K10" i="9"/>
  <c r="H10" i="9"/>
  <c r="G10" i="9"/>
  <c r="E10" i="9"/>
  <c r="D10" i="9"/>
  <c r="C10" i="9"/>
  <c r="B10" i="9"/>
  <c r="G8" i="9"/>
  <c r="H7" i="9"/>
  <c r="C7" i="9"/>
  <c r="K6" i="9"/>
  <c r="H6" i="9"/>
  <c r="C6" i="9"/>
  <c r="C5" i="9"/>
  <c r="E77" i="8"/>
  <c r="E76" i="8"/>
  <c r="C76" i="8"/>
  <c r="B76" i="8"/>
  <c r="E75" i="8"/>
  <c r="C75" i="8"/>
  <c r="B75" i="8"/>
  <c r="E74" i="8"/>
  <c r="C74" i="8"/>
  <c r="B74" i="8"/>
  <c r="E73" i="8"/>
  <c r="C73" i="8"/>
  <c r="B73" i="8"/>
  <c r="E72" i="8"/>
  <c r="C72" i="8"/>
  <c r="B72" i="8"/>
  <c r="E71" i="8"/>
  <c r="C71" i="8"/>
  <c r="B71" i="8"/>
  <c r="E70" i="8"/>
  <c r="C70" i="8"/>
  <c r="B70" i="8"/>
  <c r="E69" i="8"/>
  <c r="C69" i="8"/>
  <c r="B69" i="8"/>
  <c r="E68" i="8"/>
  <c r="C68" i="8"/>
  <c r="B68" i="8"/>
  <c r="E67" i="8"/>
  <c r="C67" i="8"/>
  <c r="B67" i="8"/>
  <c r="E66" i="8"/>
  <c r="C66" i="8"/>
  <c r="B66" i="8"/>
  <c r="E65" i="8"/>
  <c r="C65" i="8"/>
  <c r="B65" i="8"/>
  <c r="E64" i="8"/>
  <c r="C64" i="8"/>
  <c r="B64" i="8"/>
  <c r="E63" i="8"/>
  <c r="C63" i="8"/>
  <c r="B63" i="8"/>
  <c r="F62" i="8"/>
  <c r="E62" i="8"/>
  <c r="C62" i="8"/>
  <c r="B62" i="8"/>
  <c r="E61" i="8"/>
  <c r="C61" i="8"/>
  <c r="B61" i="8"/>
  <c r="E60" i="8"/>
  <c r="C60" i="8"/>
  <c r="B60" i="8"/>
  <c r="F59" i="8"/>
  <c r="E59" i="8"/>
  <c r="C59" i="8"/>
  <c r="B59" i="8"/>
  <c r="E58" i="8"/>
  <c r="C58" i="8"/>
  <c r="B58" i="8"/>
  <c r="E57" i="8"/>
  <c r="C57" i="8"/>
  <c r="B57" i="8"/>
  <c r="E56" i="8"/>
  <c r="C56" i="8"/>
  <c r="B56" i="8"/>
  <c r="E55" i="8"/>
  <c r="C55" i="8"/>
  <c r="B55" i="8"/>
  <c r="E54" i="8"/>
  <c r="C54" i="8"/>
  <c r="B54" i="8"/>
  <c r="E53" i="8"/>
  <c r="C53" i="8"/>
  <c r="B53" i="8"/>
  <c r="E52" i="8"/>
  <c r="C52" i="8"/>
  <c r="B52" i="8"/>
  <c r="E51" i="8"/>
  <c r="C51" i="8"/>
  <c r="B51" i="8"/>
  <c r="E50" i="8"/>
  <c r="C50" i="8"/>
  <c r="B50" i="8"/>
  <c r="E49" i="8"/>
  <c r="C49" i="8"/>
  <c r="B49" i="8"/>
  <c r="E48" i="8"/>
  <c r="C48" i="8"/>
  <c r="B48" i="8"/>
  <c r="E47" i="8"/>
  <c r="C47" i="8"/>
  <c r="B47" i="8"/>
  <c r="E46" i="8"/>
  <c r="C46" i="8"/>
  <c r="B46" i="8"/>
  <c r="E45" i="8"/>
  <c r="C45" i="8"/>
  <c r="B45" i="8"/>
  <c r="F44" i="8"/>
  <c r="E44" i="8"/>
  <c r="C44" i="8"/>
  <c r="B44" i="8"/>
  <c r="E43" i="8"/>
  <c r="C43" i="8"/>
  <c r="B43" i="8"/>
  <c r="F42" i="8"/>
  <c r="E42" i="8"/>
  <c r="C42" i="8"/>
  <c r="B42" i="8"/>
  <c r="F41" i="8"/>
  <c r="E41" i="8"/>
  <c r="C41" i="8"/>
  <c r="B41" i="8"/>
  <c r="E40" i="8"/>
  <c r="C40" i="8"/>
  <c r="B40" i="8"/>
  <c r="E39" i="8"/>
  <c r="C39" i="8"/>
  <c r="B39" i="8"/>
  <c r="F38" i="8"/>
  <c r="E38" i="8"/>
  <c r="C38" i="8"/>
  <c r="B38" i="8"/>
  <c r="E37" i="8"/>
  <c r="C37" i="8"/>
  <c r="B37" i="8"/>
  <c r="E36" i="8"/>
  <c r="C36" i="8"/>
  <c r="B36" i="8"/>
  <c r="E35" i="8"/>
  <c r="C35" i="8"/>
  <c r="B35" i="8"/>
  <c r="E34" i="8"/>
  <c r="C34" i="8"/>
  <c r="B34" i="8"/>
  <c r="E33" i="8"/>
  <c r="C33" i="8"/>
  <c r="B33" i="8"/>
  <c r="E32" i="8"/>
  <c r="C32" i="8"/>
  <c r="B32" i="8"/>
  <c r="E31" i="8"/>
  <c r="C31" i="8"/>
  <c r="B31" i="8"/>
  <c r="F30" i="8"/>
  <c r="E30" i="8"/>
  <c r="C30" i="8"/>
  <c r="B30" i="8"/>
  <c r="E29" i="8"/>
  <c r="C29" i="8"/>
  <c r="B29" i="8"/>
  <c r="E28" i="8"/>
  <c r="C28" i="8"/>
  <c r="B28" i="8"/>
  <c r="F27" i="8"/>
  <c r="E27" i="8"/>
  <c r="C27" i="8"/>
  <c r="B27" i="8"/>
  <c r="E26" i="8"/>
  <c r="C26" i="8"/>
  <c r="B26" i="8"/>
  <c r="E25" i="8"/>
  <c r="C25" i="8"/>
  <c r="B25" i="8"/>
  <c r="F24" i="8"/>
  <c r="E24" i="8"/>
  <c r="C24" i="8"/>
  <c r="B24" i="8"/>
  <c r="E23" i="8"/>
  <c r="C23" i="8"/>
  <c r="B23" i="8"/>
  <c r="E22" i="8"/>
  <c r="C22" i="8"/>
  <c r="B22" i="8"/>
  <c r="F21" i="8"/>
  <c r="E21" i="8"/>
  <c r="C21" i="8"/>
  <c r="B21" i="8"/>
  <c r="E20" i="8"/>
  <c r="C20" i="8"/>
  <c r="B20" i="8"/>
  <c r="E19" i="8"/>
  <c r="C19" i="8"/>
  <c r="B19" i="8"/>
  <c r="F18" i="8"/>
  <c r="E18" i="8"/>
  <c r="C18" i="8"/>
  <c r="B18" i="8"/>
  <c r="F17" i="8"/>
  <c r="E17" i="8"/>
  <c r="C17" i="8"/>
  <c r="B17" i="8"/>
  <c r="E16" i="8"/>
  <c r="C16" i="8"/>
  <c r="B16" i="8"/>
  <c r="F15" i="8"/>
  <c r="E15" i="8"/>
  <c r="C15" i="8"/>
  <c r="B15" i="8"/>
  <c r="F14" i="8"/>
  <c r="E14" i="8"/>
  <c r="C14" i="8"/>
  <c r="B14" i="8"/>
  <c r="E13" i="8"/>
  <c r="C13" i="8"/>
  <c r="B13" i="8"/>
  <c r="F12" i="8"/>
  <c r="E12" i="8"/>
  <c r="C12" i="8"/>
  <c r="B12" i="8"/>
  <c r="F11" i="8"/>
  <c r="E11" i="8"/>
  <c r="C11" i="8"/>
  <c r="B11" i="8"/>
  <c r="C7" i="8"/>
  <c r="F6" i="8"/>
  <c r="B6" i="8"/>
  <c r="D5" i="8"/>
  <c r="B5" i="8"/>
  <c r="C4" i="8"/>
  <c r="A3" i="8"/>
  <c r="E77" i="7"/>
  <c r="E76" i="7"/>
  <c r="C76" i="7"/>
  <c r="B76" i="7"/>
  <c r="F75" i="7"/>
  <c r="E75" i="7"/>
  <c r="C75" i="7"/>
  <c r="B75" i="7"/>
  <c r="F74" i="7"/>
  <c r="E74" i="7"/>
  <c r="C74" i="7"/>
  <c r="B74" i="7"/>
  <c r="E73" i="7"/>
  <c r="C73" i="7"/>
  <c r="B73" i="7"/>
  <c r="F72" i="7"/>
  <c r="E72" i="7"/>
  <c r="C72" i="7"/>
  <c r="B72" i="7"/>
  <c r="F71" i="7"/>
  <c r="E71" i="7"/>
  <c r="C71" i="7"/>
  <c r="B71" i="7"/>
  <c r="E70" i="7"/>
  <c r="C70" i="7"/>
  <c r="B70" i="7"/>
  <c r="E69" i="7"/>
  <c r="C69" i="7"/>
  <c r="B69" i="7"/>
  <c r="F68" i="7"/>
  <c r="E68" i="7"/>
  <c r="C68" i="7"/>
  <c r="B68" i="7"/>
  <c r="E67" i="7"/>
  <c r="C67" i="7"/>
  <c r="B67" i="7"/>
  <c r="E66" i="7"/>
  <c r="C66" i="7"/>
  <c r="B66" i="7"/>
  <c r="E65" i="7"/>
  <c r="C65" i="7"/>
  <c r="B65" i="7"/>
  <c r="E64" i="7"/>
  <c r="C64" i="7"/>
  <c r="B64" i="7"/>
  <c r="E63" i="7"/>
  <c r="C63" i="7"/>
  <c r="B63" i="7"/>
  <c r="E62" i="7"/>
  <c r="C62" i="7"/>
  <c r="B62" i="7"/>
  <c r="E61" i="7"/>
  <c r="C61" i="7"/>
  <c r="B61" i="7"/>
  <c r="E60" i="7"/>
  <c r="C60" i="7"/>
  <c r="B60" i="7"/>
  <c r="E59" i="7"/>
  <c r="C59" i="7"/>
  <c r="B59" i="7"/>
  <c r="E58" i="7"/>
  <c r="C58" i="7"/>
  <c r="B58" i="7"/>
  <c r="F57" i="7"/>
  <c r="E57" i="7"/>
  <c r="C57" i="7"/>
  <c r="B57" i="7"/>
  <c r="E56" i="7"/>
  <c r="C56" i="7"/>
  <c r="B56" i="7"/>
  <c r="E55" i="7"/>
  <c r="C55" i="7"/>
  <c r="B55" i="7"/>
  <c r="F54" i="7"/>
  <c r="E54" i="7"/>
  <c r="C54" i="7"/>
  <c r="B54" i="7"/>
  <c r="E53" i="7"/>
  <c r="C53" i="7"/>
  <c r="B53" i="7"/>
  <c r="E52" i="7"/>
  <c r="C52" i="7"/>
  <c r="B52" i="7"/>
  <c r="F51" i="7"/>
  <c r="E51" i="7"/>
  <c r="C51" i="7"/>
  <c r="B51" i="7"/>
  <c r="E50" i="7"/>
  <c r="C50" i="7"/>
  <c r="B50" i="7"/>
  <c r="E49" i="7"/>
  <c r="C49" i="7"/>
  <c r="B49" i="7"/>
  <c r="F48" i="7"/>
  <c r="E48" i="7"/>
  <c r="C48" i="7"/>
  <c r="B48" i="7"/>
  <c r="E47" i="7"/>
  <c r="C47" i="7"/>
  <c r="B47" i="7"/>
  <c r="E46" i="7"/>
  <c r="C46" i="7"/>
  <c r="B46" i="7"/>
  <c r="F45" i="7"/>
  <c r="E45" i="7"/>
  <c r="C45" i="7"/>
  <c r="B45" i="7"/>
  <c r="F44" i="7"/>
  <c r="E44" i="7"/>
  <c r="C44" i="7"/>
  <c r="B44" i="7"/>
  <c r="E43" i="7"/>
  <c r="C43" i="7"/>
  <c r="B43" i="7"/>
  <c r="F42" i="7"/>
  <c r="E42" i="7"/>
  <c r="C42" i="7"/>
  <c r="B42" i="7"/>
  <c r="F41" i="7"/>
  <c r="E41" i="7"/>
  <c r="C41" i="7"/>
  <c r="B41" i="7"/>
  <c r="E40" i="7"/>
  <c r="C40" i="7"/>
  <c r="B40" i="7"/>
  <c r="F39" i="7"/>
  <c r="E39" i="7"/>
  <c r="C39" i="7"/>
  <c r="B39" i="7"/>
  <c r="F38" i="7"/>
  <c r="E38" i="7"/>
  <c r="C38" i="7"/>
  <c r="B38" i="7"/>
  <c r="E37" i="7"/>
  <c r="C37" i="7"/>
  <c r="B37" i="7"/>
  <c r="F36" i="7"/>
  <c r="E36" i="7"/>
  <c r="C36" i="7"/>
  <c r="B36" i="7"/>
  <c r="F35" i="7"/>
  <c r="E35" i="7"/>
  <c r="C35" i="7"/>
  <c r="B35" i="7"/>
  <c r="E34" i="7"/>
  <c r="C34" i="7"/>
  <c r="B34" i="7"/>
  <c r="E33" i="7"/>
  <c r="C33" i="7"/>
  <c r="B33" i="7"/>
  <c r="F32" i="7"/>
  <c r="E32" i="7"/>
  <c r="C32" i="7"/>
  <c r="B32" i="7"/>
  <c r="E31" i="7"/>
  <c r="C31" i="7"/>
  <c r="B31" i="7"/>
  <c r="E30" i="7"/>
  <c r="C30" i="7"/>
  <c r="B30" i="7"/>
  <c r="E29" i="7"/>
  <c r="C29" i="7"/>
  <c r="B29" i="7"/>
  <c r="E28" i="7"/>
  <c r="C28" i="7"/>
  <c r="B28" i="7"/>
  <c r="E27" i="7"/>
  <c r="C27" i="7"/>
  <c r="B27" i="7"/>
  <c r="E26" i="7"/>
  <c r="C26" i="7"/>
  <c r="B26" i="7"/>
  <c r="E25" i="7"/>
  <c r="C25" i="7"/>
  <c r="B25" i="7"/>
  <c r="E24" i="7"/>
  <c r="C24" i="7"/>
  <c r="B24" i="7"/>
  <c r="E23" i="7"/>
  <c r="C23" i="7"/>
  <c r="B23" i="7"/>
  <c r="E22" i="7"/>
  <c r="C22" i="7"/>
  <c r="B22" i="7"/>
  <c r="F21" i="7"/>
  <c r="E21" i="7"/>
  <c r="C21" i="7"/>
  <c r="B21" i="7"/>
  <c r="E20" i="7"/>
  <c r="C20" i="7"/>
  <c r="B20" i="7"/>
  <c r="E19" i="7"/>
  <c r="C19" i="7"/>
  <c r="B19" i="7"/>
  <c r="F18" i="7"/>
  <c r="E18" i="7"/>
  <c r="C18" i="7"/>
  <c r="B18" i="7"/>
  <c r="E17" i="7"/>
  <c r="C17" i="7"/>
  <c r="B17" i="7"/>
  <c r="E16" i="7"/>
  <c r="C16" i="7"/>
  <c r="B16" i="7"/>
  <c r="F15" i="7"/>
  <c r="E15" i="7"/>
  <c r="C15" i="7"/>
  <c r="B15" i="7"/>
  <c r="E14" i="7"/>
  <c r="C14" i="7"/>
  <c r="B14" i="7"/>
  <c r="E13" i="7"/>
  <c r="C13" i="7"/>
  <c r="B13" i="7"/>
  <c r="F12" i="7"/>
  <c r="E12" i="7"/>
  <c r="E82" i="7" s="1"/>
  <c r="C12" i="7"/>
  <c r="B12" i="7"/>
  <c r="E11" i="7"/>
  <c r="C11" i="7"/>
  <c r="B11" i="7"/>
  <c r="C7" i="7"/>
  <c r="F6" i="7"/>
  <c r="B6" i="7"/>
  <c r="D5" i="7"/>
  <c r="B5" i="7"/>
  <c r="C4" i="7"/>
  <c r="A3" i="7"/>
  <c r="F39" i="6"/>
  <c r="A39" i="6"/>
  <c r="D27" i="6"/>
  <c r="D22" i="6"/>
  <c r="D16" i="6"/>
  <c r="H7" i="6"/>
  <c r="D7" i="6"/>
  <c r="H6" i="6"/>
  <c r="D6" i="6"/>
  <c r="D5" i="6"/>
  <c r="A4" i="6"/>
  <c r="F114" i="5"/>
  <c r="A114" i="5"/>
  <c r="B93" i="5"/>
  <c r="D30" i="6" s="1"/>
  <c r="B92" i="5"/>
  <c r="H88" i="5"/>
  <c r="D88" i="5"/>
  <c r="H87" i="5"/>
  <c r="D87" i="5"/>
  <c r="D86" i="5"/>
  <c r="B84" i="5"/>
  <c r="F80" i="5"/>
  <c r="A80" i="5"/>
  <c r="B60" i="5"/>
  <c r="B57" i="5"/>
  <c r="D24" i="6" s="1"/>
  <c r="B55" i="5"/>
  <c r="B49" i="5"/>
  <c r="H45" i="5"/>
  <c r="D45" i="5"/>
  <c r="H44" i="5"/>
  <c r="D44" i="5"/>
  <c r="D43" i="5"/>
  <c r="B41" i="5"/>
  <c r="F35" i="5"/>
  <c r="A35" i="5"/>
  <c r="D15" i="5"/>
  <c r="A15" i="5"/>
  <c r="A14" i="5"/>
  <c r="A13" i="5"/>
  <c r="D10" i="5"/>
  <c r="A10" i="5"/>
  <c r="H7" i="5"/>
  <c r="D7" i="5"/>
  <c r="H6" i="5"/>
  <c r="D6" i="5"/>
  <c r="D5" i="5"/>
  <c r="A3" i="5"/>
  <c r="F18" i="4"/>
  <c r="A18" i="4"/>
  <c r="A14" i="4"/>
  <c r="A11" i="4"/>
  <c r="A10" i="4"/>
  <c r="H6" i="4"/>
  <c r="D6" i="4"/>
  <c r="H5" i="4"/>
  <c r="D5" i="4"/>
  <c r="D4" i="4"/>
  <c r="B2" i="4"/>
  <c r="F18" i="3"/>
  <c r="A18" i="3"/>
  <c r="A14" i="3"/>
  <c r="A11" i="3"/>
  <c r="H6" i="3"/>
  <c r="D6" i="3"/>
  <c r="H5" i="3"/>
  <c r="D5" i="3"/>
  <c r="D4" i="3"/>
  <c r="B2" i="3"/>
  <c r="P100" i="2"/>
  <c r="D100" i="2"/>
  <c r="P99" i="2"/>
  <c r="D14" i="5" s="1"/>
  <c r="P98" i="2"/>
  <c r="D13" i="5" s="1"/>
  <c r="D98" i="2"/>
  <c r="P97" i="2"/>
  <c r="D12" i="5" s="1"/>
  <c r="P96" i="2"/>
  <c r="D11" i="5" s="1"/>
  <c r="P95" i="2"/>
  <c r="D95" i="2"/>
  <c r="G95" i="2" s="1"/>
  <c r="B88" i="2"/>
  <c r="AS88" i="2" s="1"/>
  <c r="AS89" i="2" s="1"/>
  <c r="AS90" i="2" s="1"/>
  <c r="BF87" i="2"/>
  <c r="BB87" i="2"/>
  <c r="BA87" i="2"/>
  <c r="AV87" i="2"/>
  <c r="AP87" i="2"/>
  <c r="AO87" i="2"/>
  <c r="AN87" i="2"/>
  <c r="AL87" i="2"/>
  <c r="AK87" i="2"/>
  <c r="AC87" i="2"/>
  <c r="AB87" i="2"/>
  <c r="AA87" i="2"/>
  <c r="Z87" i="2"/>
  <c r="Y87" i="2"/>
  <c r="X87" i="2"/>
  <c r="W87" i="2"/>
  <c r="V87" i="2"/>
  <c r="P87" i="2"/>
  <c r="M87" i="2"/>
  <c r="L87" i="2"/>
  <c r="K87" i="2"/>
  <c r="J87" i="2"/>
  <c r="I87" i="2"/>
  <c r="H87" i="2"/>
  <c r="D87" i="2"/>
  <c r="BF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L86" i="2"/>
  <c r="AK86" i="2"/>
  <c r="AJ86" i="2"/>
  <c r="AI86" i="2"/>
  <c r="AH86" i="2"/>
  <c r="AG86" i="2"/>
  <c r="AE86" i="2"/>
  <c r="AD86" i="2"/>
  <c r="AC86" i="2"/>
  <c r="AB86" i="2"/>
  <c r="AA86" i="2"/>
  <c r="Z86" i="2"/>
  <c r="Y86" i="2"/>
  <c r="X86" i="2"/>
  <c r="W86" i="2"/>
  <c r="V86" i="2"/>
  <c r="T86" i="2"/>
  <c r="S86" i="2"/>
  <c r="R86" i="2"/>
  <c r="Q86" i="2"/>
  <c r="P86" i="2"/>
  <c r="O86" i="2"/>
  <c r="M86" i="2"/>
  <c r="L86" i="2"/>
  <c r="K86" i="2"/>
  <c r="J86" i="2"/>
  <c r="I86" i="2"/>
  <c r="H86" i="2"/>
  <c r="G86" i="2"/>
  <c r="F86" i="2"/>
  <c r="E86" i="2"/>
  <c r="D86" i="2"/>
  <c r="BD85" i="2"/>
  <c r="BC85" i="2"/>
  <c r="BB85" i="2"/>
  <c r="BA85" i="2"/>
  <c r="AZ85" i="2"/>
  <c r="AY85" i="2"/>
  <c r="AX85" i="2"/>
  <c r="AV85" i="2"/>
  <c r="AU85" i="2"/>
  <c r="AT85" i="2"/>
  <c r="AS85" i="2"/>
  <c r="AR85" i="2"/>
  <c r="AQ85" i="2"/>
  <c r="AP85" i="2"/>
  <c r="AO85" i="2"/>
  <c r="AJ85" i="2"/>
  <c r="AI85" i="2"/>
  <c r="AH85" i="2"/>
  <c r="AG85" i="2"/>
  <c r="AF85" i="2"/>
  <c r="X85" i="2"/>
  <c r="W85" i="2"/>
  <c r="V85" i="2"/>
  <c r="T85" i="2"/>
  <c r="H100" i="2" s="1"/>
  <c r="D14" i="3" s="1"/>
  <c r="S85" i="2"/>
  <c r="R85" i="2"/>
  <c r="Q85" i="2"/>
  <c r="P85" i="2"/>
  <c r="AF82" i="2"/>
  <c r="N82" i="2"/>
  <c r="C82" i="2"/>
  <c r="B82" i="2"/>
  <c r="AF81" i="2"/>
  <c r="N81" i="2"/>
  <c r="C81" i="2"/>
  <c r="B81" i="2"/>
  <c r="AF80" i="2"/>
  <c r="N80" i="2"/>
  <c r="C80" i="2"/>
  <c r="B80" i="2"/>
  <c r="AF79" i="2"/>
  <c r="N79" i="2"/>
  <c r="C79" i="2"/>
  <c r="B79" i="2"/>
  <c r="AF78" i="2"/>
  <c r="N78" i="2"/>
  <c r="C78" i="2"/>
  <c r="B78" i="2"/>
  <c r="AF77" i="2"/>
  <c r="N77" i="2"/>
  <c r="C77" i="2"/>
  <c r="B77" i="2"/>
  <c r="AF76" i="2"/>
  <c r="N76" i="2"/>
  <c r="C76" i="2"/>
  <c r="B76" i="2"/>
  <c r="AF75" i="2"/>
  <c r="N75" i="2"/>
  <c r="C75" i="2"/>
  <c r="B75" i="2"/>
  <c r="AF74" i="2"/>
  <c r="E76" i="9" s="1"/>
  <c r="N74" i="2"/>
  <c r="D76" i="9" s="1"/>
  <c r="C74" i="2"/>
  <c r="B74" i="2"/>
  <c r="AF73" i="2"/>
  <c r="N73" i="2"/>
  <c r="F76" i="7" s="1"/>
  <c r="C73" i="2"/>
  <c r="B73" i="2"/>
  <c r="AF72" i="2"/>
  <c r="N72" i="2"/>
  <c r="D74" i="9" s="1"/>
  <c r="C72" i="2"/>
  <c r="B72" i="2"/>
  <c r="AF71" i="2"/>
  <c r="E73" i="9" s="1"/>
  <c r="N71" i="2"/>
  <c r="D73" i="9" s="1"/>
  <c r="C71" i="2"/>
  <c r="B71" i="2"/>
  <c r="AF70" i="2"/>
  <c r="F73" i="8" s="1"/>
  <c r="N70" i="2"/>
  <c r="F73" i="7" s="1"/>
  <c r="C70" i="2"/>
  <c r="B70" i="2"/>
  <c r="AF69" i="2"/>
  <c r="N69" i="2"/>
  <c r="D71" i="9" s="1"/>
  <c r="C69" i="2"/>
  <c r="B69" i="2"/>
  <c r="AF68" i="2"/>
  <c r="F71" i="8" s="1"/>
  <c r="N68" i="2"/>
  <c r="D70" i="9" s="1"/>
  <c r="C68" i="2"/>
  <c r="B68" i="2"/>
  <c r="AF67" i="2"/>
  <c r="N67" i="2"/>
  <c r="F70" i="7" s="1"/>
  <c r="C67" i="2"/>
  <c r="B67" i="2"/>
  <c r="AF66" i="2"/>
  <c r="N66" i="2"/>
  <c r="D68" i="9" s="1"/>
  <c r="C66" i="2"/>
  <c r="B66" i="2"/>
  <c r="AF65" i="2"/>
  <c r="E67" i="9" s="1"/>
  <c r="N65" i="2"/>
  <c r="D67" i="9" s="1"/>
  <c r="C65" i="2"/>
  <c r="B65" i="2"/>
  <c r="AF64" i="2"/>
  <c r="N64" i="2"/>
  <c r="D66" i="9" s="1"/>
  <c r="C64" i="2"/>
  <c r="B64" i="2"/>
  <c r="AF63" i="2"/>
  <c r="N63" i="2"/>
  <c r="D65" i="9" s="1"/>
  <c r="C63" i="2"/>
  <c r="B63" i="2"/>
  <c r="AF62" i="2"/>
  <c r="E64" i="9" s="1"/>
  <c r="N62" i="2"/>
  <c r="D64" i="9" s="1"/>
  <c r="C62" i="2"/>
  <c r="B62" i="2"/>
  <c r="AF61" i="2"/>
  <c r="N61" i="2"/>
  <c r="F64" i="7" s="1"/>
  <c r="C61" i="2"/>
  <c r="B61" i="2"/>
  <c r="AF60" i="2"/>
  <c r="N60" i="2"/>
  <c r="D62" i="9" s="1"/>
  <c r="C60" i="2"/>
  <c r="B60" i="2"/>
  <c r="AF59" i="2"/>
  <c r="E61" i="9" s="1"/>
  <c r="N59" i="2"/>
  <c r="D61" i="9" s="1"/>
  <c r="C59" i="2"/>
  <c r="B59" i="2"/>
  <c r="AF58" i="2"/>
  <c r="F61" i="8" s="1"/>
  <c r="N58" i="2"/>
  <c r="F61" i="7" s="1"/>
  <c r="C58" i="2"/>
  <c r="B58" i="2"/>
  <c r="AF57" i="2"/>
  <c r="N57" i="2"/>
  <c r="D59" i="9" s="1"/>
  <c r="C57" i="2"/>
  <c r="B57" i="2"/>
  <c r="AF56" i="2"/>
  <c r="E58" i="9" s="1"/>
  <c r="N56" i="2"/>
  <c r="D58" i="9" s="1"/>
  <c r="C56" i="2"/>
  <c r="B56" i="2"/>
  <c r="AF55" i="2"/>
  <c r="N55" i="2"/>
  <c r="F58" i="7" s="1"/>
  <c r="C55" i="2"/>
  <c r="B55" i="2"/>
  <c r="AF54" i="2"/>
  <c r="N54" i="2"/>
  <c r="D56" i="9" s="1"/>
  <c r="C54" i="2"/>
  <c r="B54" i="2"/>
  <c r="AF53" i="2"/>
  <c r="E55" i="9" s="1"/>
  <c r="N53" i="2"/>
  <c r="F56" i="7" s="1"/>
  <c r="C53" i="2"/>
  <c r="B53" i="2"/>
  <c r="AF52" i="2"/>
  <c r="N52" i="2"/>
  <c r="D54" i="9" s="1"/>
  <c r="C52" i="2"/>
  <c r="B52" i="2"/>
  <c r="AF51" i="2"/>
  <c r="N51" i="2"/>
  <c r="C51" i="2"/>
  <c r="B51" i="2"/>
  <c r="AF50" i="2"/>
  <c r="E52" i="9" s="1"/>
  <c r="N50" i="2"/>
  <c r="D52" i="9" s="1"/>
  <c r="C50" i="2"/>
  <c r="B50" i="2"/>
  <c r="AF49" i="2"/>
  <c r="N49" i="2"/>
  <c r="F52" i="7" s="1"/>
  <c r="C49" i="2"/>
  <c r="B49" i="2"/>
  <c r="AF48" i="2"/>
  <c r="N48" i="2"/>
  <c r="D50" i="9" s="1"/>
  <c r="C48" i="2"/>
  <c r="B48" i="2"/>
  <c r="AF47" i="2"/>
  <c r="E49" i="9" s="1"/>
  <c r="N47" i="2"/>
  <c r="D49" i="9" s="1"/>
  <c r="C47" i="2"/>
  <c r="B47" i="2"/>
  <c r="AF46" i="2"/>
  <c r="F49" i="8" s="1"/>
  <c r="N46" i="2"/>
  <c r="F49" i="7" s="1"/>
  <c r="C46" i="2"/>
  <c r="B46" i="2"/>
  <c r="AF45" i="2"/>
  <c r="N45" i="2"/>
  <c r="D47" i="9" s="1"/>
  <c r="C45" i="2"/>
  <c r="B45" i="2"/>
  <c r="AF44" i="2"/>
  <c r="F47" i="8" s="1"/>
  <c r="N44" i="2"/>
  <c r="D46" i="9" s="1"/>
  <c r="C44" i="2"/>
  <c r="B44" i="2"/>
  <c r="AF43" i="2"/>
  <c r="N43" i="2"/>
  <c r="F46" i="7" s="1"/>
  <c r="C43" i="2"/>
  <c r="B43" i="2"/>
  <c r="AF42" i="2"/>
  <c r="N42" i="2"/>
  <c r="D44" i="9" s="1"/>
  <c r="C42" i="2"/>
  <c r="B42" i="2"/>
  <c r="AF41" i="2"/>
  <c r="E43" i="9" s="1"/>
  <c r="N41" i="2"/>
  <c r="D43" i="9" s="1"/>
  <c r="C41" i="2"/>
  <c r="B41" i="2"/>
  <c r="AF40" i="2"/>
  <c r="N40" i="2"/>
  <c r="D42" i="9" s="1"/>
  <c r="C40" i="2"/>
  <c r="B40" i="2"/>
  <c r="AF39" i="2"/>
  <c r="E41" i="9" s="1"/>
  <c r="N39" i="2"/>
  <c r="D41" i="9" s="1"/>
  <c r="C39" i="2"/>
  <c r="B39" i="2"/>
  <c r="AF38" i="2"/>
  <c r="E40" i="9" s="1"/>
  <c r="N38" i="2"/>
  <c r="D40" i="9" s="1"/>
  <c r="C38" i="2"/>
  <c r="B38" i="2"/>
  <c r="AF37" i="2"/>
  <c r="N37" i="2"/>
  <c r="F40" i="7" s="1"/>
  <c r="C37" i="2"/>
  <c r="B37" i="2"/>
  <c r="AF36" i="2"/>
  <c r="N36" i="2"/>
  <c r="D38" i="9" s="1"/>
  <c r="C36" i="2"/>
  <c r="B36" i="2"/>
  <c r="AF35" i="2"/>
  <c r="E37" i="9" s="1"/>
  <c r="N35" i="2"/>
  <c r="D37" i="9" s="1"/>
  <c r="C35" i="2"/>
  <c r="B35" i="2"/>
  <c r="AF34" i="2"/>
  <c r="F37" i="8" s="1"/>
  <c r="N34" i="2"/>
  <c r="F37" i="7" s="1"/>
  <c r="C34" i="2"/>
  <c r="B34" i="2"/>
  <c r="AF33" i="2"/>
  <c r="N33" i="2"/>
  <c r="D35" i="9" s="1"/>
  <c r="C33" i="2"/>
  <c r="B33" i="2"/>
  <c r="AF32" i="2"/>
  <c r="F35" i="8" s="1"/>
  <c r="N32" i="2"/>
  <c r="D34" i="9" s="1"/>
  <c r="C32" i="2"/>
  <c r="B32" i="2"/>
  <c r="AF31" i="2"/>
  <c r="N31" i="2"/>
  <c r="F34" i="7" s="1"/>
  <c r="C31" i="2"/>
  <c r="B31" i="2"/>
  <c r="AF30" i="2"/>
  <c r="E32" i="9" s="1"/>
  <c r="N30" i="2"/>
  <c r="D32" i="9" s="1"/>
  <c r="C30" i="2"/>
  <c r="B30" i="2"/>
  <c r="AF29" i="2"/>
  <c r="E31" i="9" s="1"/>
  <c r="N29" i="2"/>
  <c r="C29" i="2"/>
  <c r="B29" i="2"/>
  <c r="AF28" i="2"/>
  <c r="F31" i="8" s="1"/>
  <c r="N28" i="2"/>
  <c r="D30" i="9" s="1"/>
  <c r="C28" i="2"/>
  <c r="B28" i="2"/>
  <c r="AF27" i="2"/>
  <c r="E29" i="9" s="1"/>
  <c r="N27" i="2"/>
  <c r="F30" i="7" s="1"/>
  <c r="C27" i="2"/>
  <c r="B27" i="2"/>
  <c r="AF26" i="2"/>
  <c r="E28" i="9" s="1"/>
  <c r="N26" i="2"/>
  <c r="D28" i="9" s="1"/>
  <c r="C26" i="2"/>
  <c r="B26" i="2"/>
  <c r="AF25" i="2"/>
  <c r="N25" i="2"/>
  <c r="F28" i="7" s="1"/>
  <c r="C25" i="2"/>
  <c r="B25" i="2"/>
  <c r="AF24" i="2"/>
  <c r="E26" i="9" s="1"/>
  <c r="N24" i="2"/>
  <c r="D26" i="9" s="1"/>
  <c r="C24" i="2"/>
  <c r="B24" i="2"/>
  <c r="AF23" i="2"/>
  <c r="E25" i="9" s="1"/>
  <c r="N23" i="2"/>
  <c r="F26" i="7" s="1"/>
  <c r="C23" i="2"/>
  <c r="B23" i="2"/>
  <c r="AF22" i="2"/>
  <c r="F25" i="8" s="1"/>
  <c r="N22" i="2"/>
  <c r="F25" i="7" s="1"/>
  <c r="C22" i="2"/>
  <c r="B22" i="2"/>
  <c r="AF21" i="2"/>
  <c r="E23" i="9" s="1"/>
  <c r="N21" i="2"/>
  <c r="D23" i="9" s="1"/>
  <c r="C21" i="2"/>
  <c r="B21" i="2"/>
  <c r="AF20" i="2"/>
  <c r="F23" i="8" s="1"/>
  <c r="N20" i="2"/>
  <c r="D22" i="9" s="1"/>
  <c r="C20" i="2"/>
  <c r="B20" i="2"/>
  <c r="AF19" i="2"/>
  <c r="N19" i="2"/>
  <c r="F22" i="7" s="1"/>
  <c r="C19" i="2"/>
  <c r="B19" i="2"/>
  <c r="AF18" i="2"/>
  <c r="E20" i="9" s="1"/>
  <c r="N18" i="2"/>
  <c r="D20" i="9" s="1"/>
  <c r="C18" i="2"/>
  <c r="B18" i="2"/>
  <c r="AF17" i="2"/>
  <c r="E19" i="9" s="1"/>
  <c r="N17" i="2"/>
  <c r="F20" i="7" s="1"/>
  <c r="C17" i="2"/>
  <c r="B17" i="2"/>
  <c r="AF16" i="2"/>
  <c r="F19" i="8" s="1"/>
  <c r="N16" i="2"/>
  <c r="D18" i="9" s="1"/>
  <c r="C16" i="2"/>
  <c r="B16" i="2"/>
  <c r="AF15" i="2"/>
  <c r="E17" i="9" s="1"/>
  <c r="N15" i="2"/>
  <c r="C15" i="2"/>
  <c r="B15" i="2"/>
  <c r="AF14" i="2"/>
  <c r="E16" i="9" s="1"/>
  <c r="N14" i="2"/>
  <c r="D16" i="9" s="1"/>
  <c r="C14" i="2"/>
  <c r="B14" i="2"/>
  <c r="AF13" i="2"/>
  <c r="F16" i="8" s="1"/>
  <c r="N13" i="2"/>
  <c r="F16" i="7" s="1"/>
  <c r="C13" i="2"/>
  <c r="B13" i="2"/>
  <c r="AF12" i="2"/>
  <c r="E14" i="9" s="1"/>
  <c r="N12" i="2"/>
  <c r="D14" i="9" s="1"/>
  <c r="C12" i="2"/>
  <c r="B12" i="2"/>
  <c r="AF11" i="2"/>
  <c r="E13" i="9" s="1"/>
  <c r="N11" i="2"/>
  <c r="F14" i="7" s="1"/>
  <c r="C11" i="2"/>
  <c r="B11" i="2"/>
  <c r="AF10" i="2"/>
  <c r="F13" i="8" s="1"/>
  <c r="N10" i="2"/>
  <c r="F13" i="7" s="1"/>
  <c r="C10" i="2"/>
  <c r="B10" i="2"/>
  <c r="AF9" i="2"/>
  <c r="E11" i="9" s="1"/>
  <c r="N9" i="2"/>
  <c r="D11" i="9" s="1"/>
  <c r="C9" i="2"/>
  <c r="B9" i="2"/>
  <c r="AF8" i="2"/>
  <c r="N8" i="2"/>
  <c r="F11" i="7" s="1"/>
  <c r="C8" i="2"/>
  <c r="B8" i="2"/>
  <c r="BF7" i="2"/>
  <c r="BD7" i="2"/>
  <c r="BD87" i="2" s="1"/>
  <c r="BC7" i="2"/>
  <c r="BC87" i="2" s="1"/>
  <c r="BB7" i="2"/>
  <c r="BA7" i="2"/>
  <c r="AZ7" i="2"/>
  <c r="AZ87" i="2" s="1"/>
  <c r="AY7" i="2"/>
  <c r="AY87" i="2" s="1"/>
  <c r="AX7" i="2"/>
  <c r="AX87" i="2" s="1"/>
  <c r="AW7" i="2"/>
  <c r="AV7" i="2"/>
  <c r="AW87" i="2" s="1"/>
  <c r="AW88" i="2" s="1"/>
  <c r="AW89" i="2" s="1"/>
  <c r="AW90" i="2" s="1"/>
  <c r="AU7" i="2"/>
  <c r="AU87" i="2" s="1"/>
  <c r="AT7" i="2"/>
  <c r="AT87" i="2" s="1"/>
  <c r="AS7" i="2"/>
  <c r="AS87" i="2" s="1"/>
  <c r="AR7" i="2"/>
  <c r="AR87" i="2" s="1"/>
  <c r="AQ7" i="2"/>
  <c r="AQ87" i="2" s="1"/>
  <c r="AP7" i="2"/>
  <c r="AO7" i="2"/>
  <c r="AN7" i="2"/>
  <c r="AL7" i="2"/>
  <c r="AK7" i="2"/>
  <c r="AJ7" i="2"/>
  <c r="AJ87" i="2" s="1"/>
  <c r="AI7" i="2"/>
  <c r="AI87" i="2" s="1"/>
  <c r="AH7" i="2"/>
  <c r="AH87" i="2" s="1"/>
  <c r="AG7" i="2"/>
  <c r="AG87" i="2" s="1"/>
  <c r="AG88" i="2" s="1"/>
  <c r="AG89" i="2" s="1"/>
  <c r="AG90" i="2" s="1"/>
  <c r="AF7" i="2"/>
  <c r="AF87" i="2" s="1"/>
  <c r="AE7" i="2"/>
  <c r="AE87" i="2" s="1"/>
  <c r="AD7" i="2"/>
  <c r="AD87" i="2" s="1"/>
  <c r="AC7" i="2"/>
  <c r="AB7" i="2"/>
  <c r="AA7" i="2"/>
  <c r="Z7" i="2"/>
  <c r="Y7" i="2"/>
  <c r="X7" i="2"/>
  <c r="W7" i="2"/>
  <c r="V7" i="2"/>
  <c r="T7" i="2"/>
  <c r="T87" i="2" s="1"/>
  <c r="S7" i="2"/>
  <c r="S87" i="2" s="1"/>
  <c r="R7" i="2"/>
  <c r="R87" i="2" s="1"/>
  <c r="Q7" i="2"/>
  <c r="Q87" i="2" s="1"/>
  <c r="Q88" i="2" s="1"/>
  <c r="Q89" i="2" s="1"/>
  <c r="Q90" i="2" s="1"/>
  <c r="P7" i="2"/>
  <c r="O7" i="2"/>
  <c r="O87" i="2" s="1"/>
  <c r="N7" i="2"/>
  <c r="N87" i="2" s="1"/>
  <c r="M7" i="2"/>
  <c r="L7" i="2"/>
  <c r="K7" i="2"/>
  <c r="J7" i="2"/>
  <c r="I7" i="2"/>
  <c r="H7" i="2"/>
  <c r="G7" i="2"/>
  <c r="G87" i="2" s="1"/>
  <c r="F7" i="2"/>
  <c r="F87" i="2" s="1"/>
  <c r="E7" i="2"/>
  <c r="E87" i="2" s="1"/>
  <c r="D7" i="2"/>
  <c r="BB6" i="2"/>
  <c r="BA6" i="2"/>
  <c r="AZ6" i="2"/>
  <c r="AY6" i="2"/>
  <c r="AX6" i="2"/>
  <c r="AW6" i="2"/>
  <c r="AS6" i="2"/>
  <c r="AR6" i="2"/>
  <c r="AQ6" i="2"/>
  <c r="AP6" i="2"/>
  <c r="AO6" i="2"/>
  <c r="AN6" i="2"/>
  <c r="AL6" i="2"/>
  <c r="AK6" i="2"/>
  <c r="AJ6" i="2"/>
  <c r="AI6" i="2"/>
  <c r="AH6" i="2"/>
  <c r="AG6" i="2"/>
  <c r="AE6" i="2"/>
  <c r="AD6" i="2"/>
  <c r="AC6" i="2"/>
  <c r="AB6" i="2"/>
  <c r="AA6" i="2"/>
  <c r="Z6" i="2"/>
  <c r="Y6" i="2"/>
  <c r="X6" i="2"/>
  <c r="W6" i="2"/>
  <c r="V6" i="2"/>
  <c r="T6" i="2"/>
  <c r="S6" i="2"/>
  <c r="R6" i="2"/>
  <c r="Q6" i="2"/>
  <c r="P6" i="2"/>
  <c r="O6" i="2"/>
  <c r="M6" i="2"/>
  <c r="L6" i="2"/>
  <c r="K6" i="2"/>
  <c r="J6" i="2"/>
  <c r="I6" i="2"/>
  <c r="H6" i="2"/>
  <c r="G6" i="2"/>
  <c r="F6" i="2"/>
  <c r="E6" i="2"/>
  <c r="D6" i="2"/>
  <c r="AW5" i="2"/>
  <c r="AW85" i="2" s="1"/>
  <c r="AN5" i="2"/>
  <c r="AN85" i="2" s="1"/>
  <c r="G97" i="2" s="1"/>
  <c r="AL5" i="2"/>
  <c r="AL85" i="2" s="1"/>
  <c r="AK5" i="2"/>
  <c r="AK85" i="2" s="1"/>
  <c r="AJ5" i="2"/>
  <c r="AI5" i="2"/>
  <c r="AH5" i="2"/>
  <c r="AG5" i="2"/>
  <c r="AF5" i="2"/>
  <c r="AE5" i="2"/>
  <c r="AE85" i="2" s="1"/>
  <c r="AD5" i="2"/>
  <c r="AD85" i="2" s="1"/>
  <c r="AC5" i="2"/>
  <c r="AC85" i="2" s="1"/>
  <c r="AB5" i="2"/>
  <c r="AB85" i="2" s="1"/>
  <c r="AA5" i="2"/>
  <c r="AA85" i="2" s="1"/>
  <c r="Z5" i="2"/>
  <c r="Z85" i="2" s="1"/>
  <c r="F95" i="2" s="1"/>
  <c r="B9" i="4" s="1"/>
  <c r="F9" i="4" s="1"/>
  <c r="H9" i="4" s="1"/>
  <c r="Y5" i="2"/>
  <c r="Y85" i="2" s="1"/>
  <c r="X5" i="2"/>
  <c r="W5" i="2"/>
  <c r="V5" i="2"/>
  <c r="T5" i="2"/>
  <c r="S5" i="2"/>
  <c r="R5" i="2"/>
  <c r="Q5" i="2"/>
  <c r="P5" i="2"/>
  <c r="O5" i="2"/>
  <c r="O85" i="2" s="1"/>
  <c r="N5" i="2"/>
  <c r="N85" i="2" s="1"/>
  <c r="M5" i="2"/>
  <c r="M85" i="2" s="1"/>
  <c r="L5" i="2"/>
  <c r="L85" i="2" s="1"/>
  <c r="K5" i="2"/>
  <c r="K85" i="2" s="1"/>
  <c r="J5" i="2"/>
  <c r="J85" i="2" s="1"/>
  <c r="I5" i="2"/>
  <c r="I85" i="2" s="1"/>
  <c r="H5" i="2"/>
  <c r="H85" i="2" s="1"/>
  <c r="G5" i="2"/>
  <c r="G85" i="2" s="1"/>
  <c r="F5" i="2"/>
  <c r="F85" i="2" s="1"/>
  <c r="E5" i="2"/>
  <c r="E85" i="2" s="1"/>
  <c r="D5" i="2"/>
  <c r="D85" i="2" s="1"/>
  <c r="Q19" i="1"/>
  <c r="P19" i="1"/>
  <c r="F29" i="10" s="1"/>
  <c r="O19" i="1"/>
  <c r="N19" i="1"/>
  <c r="M19" i="1"/>
  <c r="L19" i="1"/>
  <c r="K21" i="10" s="1"/>
  <c r="K19" i="1"/>
  <c r="J19" i="1"/>
  <c r="I19" i="1"/>
  <c r="H21" i="10" s="1"/>
  <c r="H19" i="1"/>
  <c r="G21" i="10" s="1"/>
  <c r="G19" i="1"/>
  <c r="B53" i="5" s="1"/>
  <c r="D20" i="6" s="1"/>
  <c r="F19" i="1"/>
  <c r="E21" i="10" s="1"/>
  <c r="E19" i="1"/>
  <c r="D21" i="10" s="1"/>
  <c r="D19" i="1"/>
  <c r="B50" i="5" s="1"/>
  <c r="D17" i="6" s="1"/>
  <c r="C19" i="1"/>
  <c r="B21" i="10" s="1"/>
  <c r="A18" i="1"/>
  <c r="A17" i="1"/>
  <c r="A13" i="4" s="1"/>
  <c r="A16" i="1"/>
  <c r="A15" i="1"/>
  <c r="D97" i="2" s="1"/>
  <c r="A14" i="1"/>
  <c r="A10" i="3" s="1"/>
  <c r="A13" i="1"/>
  <c r="A9" i="4" s="1"/>
  <c r="C1047" i="9"/>
  <c r="G100" i="2" l="1"/>
  <c r="E98" i="2"/>
  <c r="AF86" i="2"/>
  <c r="O88" i="2"/>
  <c r="O89" i="2" s="1"/>
  <c r="O90" i="2" s="1"/>
  <c r="AE88" i="2"/>
  <c r="AE89" i="2" s="1"/>
  <c r="AE90" i="2" s="1"/>
  <c r="AU88" i="2"/>
  <c r="AU89" i="2" s="1"/>
  <c r="AU90" i="2" s="1"/>
  <c r="B51" i="5"/>
  <c r="D18" i="6" s="1"/>
  <c r="E24" i="9"/>
  <c r="P88" i="2"/>
  <c r="P89" i="2" s="1"/>
  <c r="P90" i="2" s="1"/>
  <c r="AF88" i="2"/>
  <c r="AF89" i="2" s="1"/>
  <c r="AV88" i="2"/>
  <c r="AV89" i="2" s="1"/>
  <c r="AV90" i="2" s="1"/>
  <c r="E82" i="8"/>
  <c r="E18" i="9"/>
  <c r="F55" i="8"/>
  <c r="E54" i="9"/>
  <c r="E12" i="9"/>
  <c r="E48" i="9"/>
  <c r="E72" i="9"/>
  <c r="F28" i="8"/>
  <c r="E27" i="9"/>
  <c r="F52" i="8"/>
  <c r="E51" i="9"/>
  <c r="F70" i="8"/>
  <c r="E69" i="9"/>
  <c r="E88" i="2"/>
  <c r="E89" i="2" s="1"/>
  <c r="E90" i="2" s="1"/>
  <c r="T88" i="2"/>
  <c r="T89" i="2" s="1"/>
  <c r="T90" i="2" s="1"/>
  <c r="AJ88" i="2"/>
  <c r="AJ89" i="2" s="1"/>
  <c r="AJ90" i="2" s="1"/>
  <c r="BC88" i="2"/>
  <c r="BC89" i="2" s="1"/>
  <c r="BC90" i="2" s="1"/>
  <c r="H95" i="2"/>
  <c r="D9" i="3" s="1"/>
  <c r="E100" i="2"/>
  <c r="D29" i="6"/>
  <c r="F29" i="7"/>
  <c r="F65" i="7"/>
  <c r="F56" i="8"/>
  <c r="F74" i="8"/>
  <c r="D25" i="9"/>
  <c r="F34" i="8"/>
  <c r="E33" i="9"/>
  <c r="R88" i="2"/>
  <c r="R89" i="2" s="1"/>
  <c r="R90" i="2" s="1"/>
  <c r="BA88" i="2"/>
  <c r="BA89" i="2" s="1"/>
  <c r="BA90" i="2" s="1"/>
  <c r="AI88" i="2"/>
  <c r="AI89" i="2" s="1"/>
  <c r="AI90" i="2" s="1"/>
  <c r="F100" i="2"/>
  <c r="B14" i="4" s="1"/>
  <c r="F14" i="4" s="1"/>
  <c r="H14" i="4" s="1"/>
  <c r="B56" i="5"/>
  <c r="D23" i="6" s="1"/>
  <c r="I21" i="10"/>
  <c r="D19" i="9"/>
  <c r="F58" i="8"/>
  <c r="E57" i="9"/>
  <c r="F67" i="8"/>
  <c r="E66" i="9"/>
  <c r="F76" i="8"/>
  <c r="E75" i="9"/>
  <c r="D88" i="2"/>
  <c r="D89" i="2" s="1"/>
  <c r="D90" i="2" s="1"/>
  <c r="F88" i="2"/>
  <c r="F89" i="2" s="1"/>
  <c r="F90" i="2" s="1"/>
  <c r="BD88" i="2"/>
  <c r="BD89" i="2" s="1"/>
  <c r="BD90" i="2" s="1"/>
  <c r="W88" i="2"/>
  <c r="W89" i="2" s="1"/>
  <c r="W90" i="2" s="1"/>
  <c r="BF88" i="2"/>
  <c r="BF89" i="2" s="1"/>
  <c r="BF90" i="2" s="1"/>
  <c r="F23" i="7"/>
  <c r="F59" i="7"/>
  <c r="H88" i="2"/>
  <c r="H89" i="2" s="1"/>
  <c r="H90" i="2" s="1"/>
  <c r="X88" i="2"/>
  <c r="X89" i="2" s="1"/>
  <c r="X90" i="2" s="1"/>
  <c r="AQ88" i="2"/>
  <c r="AQ89" i="2" s="1"/>
  <c r="AQ90" i="2" s="1"/>
  <c r="H97" i="2"/>
  <c r="D11" i="3" s="1"/>
  <c r="A13" i="3"/>
  <c r="A12" i="5"/>
  <c r="F33" i="7"/>
  <c r="F69" i="7"/>
  <c r="F29" i="8"/>
  <c r="D13" i="9"/>
  <c r="E15" i="9"/>
  <c r="E34" i="9"/>
  <c r="E36" i="9"/>
  <c r="E60" i="9"/>
  <c r="F43" i="8"/>
  <c r="E42" i="9"/>
  <c r="I88" i="2"/>
  <c r="I89" i="2" s="1"/>
  <c r="I90" i="2" s="1"/>
  <c r="AB88" i="2"/>
  <c r="AB89" i="2" s="1"/>
  <c r="AB90" i="2" s="1"/>
  <c r="AR88" i="2"/>
  <c r="AR89" i="2" s="1"/>
  <c r="AR90" i="2" s="1"/>
  <c r="D99" i="2"/>
  <c r="B54" i="5"/>
  <c r="D21" i="6" s="1"/>
  <c r="F17" i="7"/>
  <c r="E79" i="7" s="1"/>
  <c r="E80" i="7" s="1"/>
  <c r="F53" i="7"/>
  <c r="F66" i="7"/>
  <c r="F26" i="8"/>
  <c r="F50" i="8"/>
  <c r="F68" i="8"/>
  <c r="F22" i="8"/>
  <c r="E79" i="8" s="1"/>
  <c r="E80" i="8" s="1"/>
  <c r="E21" i="9"/>
  <c r="F40" i="8"/>
  <c r="E39" i="9"/>
  <c r="F64" i="8"/>
  <c r="E63" i="9"/>
  <c r="G98" i="2"/>
  <c r="F98" i="2"/>
  <c r="B12" i="4" s="1"/>
  <c r="F12" i="4" s="1"/>
  <c r="H12" i="4" s="1"/>
  <c r="H98" i="2"/>
  <c r="D12" i="3" s="1"/>
  <c r="H99" i="2"/>
  <c r="D13" i="3" s="1"/>
  <c r="S88" i="2"/>
  <c r="S89" i="2" s="1"/>
  <c r="S90" i="2" s="1"/>
  <c r="B52" i="5"/>
  <c r="D19" i="6" s="1"/>
  <c r="V88" i="2"/>
  <c r="V89" i="2" s="1"/>
  <c r="V90" i="2" s="1"/>
  <c r="N86" i="2"/>
  <c r="G88" i="2"/>
  <c r="G89" i="2" s="1"/>
  <c r="G90" i="2" s="1"/>
  <c r="AP88" i="2"/>
  <c r="AP89" i="2" s="1"/>
  <c r="AP90" i="2" s="1"/>
  <c r="F32" i="8"/>
  <c r="F53" i="8"/>
  <c r="A12" i="3"/>
  <c r="A12" i="4"/>
  <c r="B59" i="5"/>
  <c r="D26" i="6" s="1"/>
  <c r="L21" i="10"/>
  <c r="E35" i="9"/>
  <c r="F36" i="8"/>
  <c r="F39" i="8"/>
  <c r="E38" i="9"/>
  <c r="F45" i="8"/>
  <c r="E44" i="9"/>
  <c r="E47" i="9"/>
  <c r="F48" i="8"/>
  <c r="F51" i="8"/>
  <c r="E50" i="9"/>
  <c r="F54" i="8"/>
  <c r="E53" i="9"/>
  <c r="F57" i="8"/>
  <c r="E56" i="9"/>
  <c r="E59" i="9"/>
  <c r="F60" i="8"/>
  <c r="F63" i="8"/>
  <c r="E62" i="9"/>
  <c r="F66" i="8"/>
  <c r="E65" i="9"/>
  <c r="F69" i="8"/>
  <c r="E68" i="9"/>
  <c r="E71" i="9"/>
  <c r="F72" i="8"/>
  <c r="F75" i="8"/>
  <c r="E74" i="9"/>
  <c r="J88" i="2"/>
  <c r="J89" i="2" s="1"/>
  <c r="J90" i="2" s="1"/>
  <c r="AC88" i="2"/>
  <c r="AC89" i="2" s="1"/>
  <c r="AC90" i="2" s="1"/>
  <c r="B58" i="5"/>
  <c r="D25" i="6" s="1"/>
  <c r="F27" i="7"/>
  <c r="F50" i="7"/>
  <c r="F63" i="7"/>
  <c r="E30" i="9"/>
  <c r="B94" i="5"/>
  <c r="F46" i="8"/>
  <c r="E45" i="9"/>
  <c r="AZ88" i="2"/>
  <c r="AZ89" i="2" s="1"/>
  <c r="AZ90" i="2" s="1"/>
  <c r="AN88" i="2"/>
  <c r="AN89" i="2" s="1"/>
  <c r="AN90" i="2" s="1"/>
  <c r="AA88" i="2"/>
  <c r="AA89" i="2" s="1"/>
  <c r="AA90" i="2" s="1"/>
  <c r="N88" i="2"/>
  <c r="N89" i="2" s="1"/>
  <c r="N90" i="2" s="1"/>
  <c r="AY88" i="2"/>
  <c r="AY89" i="2" s="1"/>
  <c r="AY90" i="2" s="1"/>
  <c r="AL88" i="2"/>
  <c r="AL89" i="2" s="1"/>
  <c r="AL90" i="2" s="1"/>
  <c r="Z88" i="2"/>
  <c r="Z89" i="2" s="1"/>
  <c r="Z90" i="2" s="1"/>
  <c r="M88" i="2"/>
  <c r="M89" i="2" s="1"/>
  <c r="M90" i="2" s="1"/>
  <c r="AX88" i="2"/>
  <c r="AX89" i="2" s="1"/>
  <c r="AX90" i="2" s="1"/>
  <c r="AK88" i="2"/>
  <c r="AK89" i="2" s="1"/>
  <c r="AK90" i="2" s="1"/>
  <c r="Y88" i="2"/>
  <c r="Y89" i="2" s="1"/>
  <c r="Y90" i="2" s="1"/>
  <c r="L88" i="2"/>
  <c r="L89" i="2" s="1"/>
  <c r="L90" i="2" s="1"/>
  <c r="AH88" i="2"/>
  <c r="AH89" i="2" s="1"/>
  <c r="AH90" i="2" s="1"/>
  <c r="BB88" i="2"/>
  <c r="BB89" i="2" s="1"/>
  <c r="BB90" i="2" s="1"/>
  <c r="AO88" i="2"/>
  <c r="AO89" i="2" s="1"/>
  <c r="AO90" i="2" s="1"/>
  <c r="A9" i="3"/>
  <c r="F62" i="7"/>
  <c r="D96" i="2"/>
  <c r="A11" i="5"/>
  <c r="F97" i="2"/>
  <c r="B11" i="4" s="1"/>
  <c r="F11" i="4" s="1"/>
  <c r="H11" i="4" s="1"/>
  <c r="E97" i="2"/>
  <c r="K88" i="2"/>
  <c r="K89" i="2" s="1"/>
  <c r="K90" i="2" s="1"/>
  <c r="AD88" i="2"/>
  <c r="AD89" i="2" s="1"/>
  <c r="AD90" i="2" s="1"/>
  <c r="AT88" i="2"/>
  <c r="AT89" i="2" s="1"/>
  <c r="AT90" i="2" s="1"/>
  <c r="F24" i="7"/>
  <c r="F47" i="7"/>
  <c r="F60" i="7"/>
  <c r="F20" i="8"/>
  <c r="E81" i="8" s="1"/>
  <c r="F33" i="8"/>
  <c r="F65" i="8"/>
  <c r="D21" i="9"/>
  <c r="D33" i="9"/>
  <c r="D45" i="9"/>
  <c r="D57" i="9"/>
  <c r="D69" i="9"/>
  <c r="F19" i="7"/>
  <c r="F31" i="7"/>
  <c r="F43" i="7"/>
  <c r="F55" i="7"/>
  <c r="F67" i="7"/>
  <c r="B12" i="3" l="1"/>
  <c r="F12" i="3" s="1"/>
  <c r="H12" i="3" s="1"/>
  <c r="J98" i="2"/>
  <c r="F12" i="6" s="1"/>
  <c r="E81" i="7"/>
  <c r="J97" i="2"/>
  <c r="F11" i="6" s="1"/>
  <c r="B11" i="3"/>
  <c r="F11" i="3" s="1"/>
  <c r="H11" i="3" s="1"/>
  <c r="E78" i="8"/>
  <c r="F96" i="2"/>
  <c r="B10" i="4" s="1"/>
  <c r="F10" i="4" s="1"/>
  <c r="H10" i="4" s="1"/>
  <c r="E96" i="2"/>
  <c r="E95" i="2"/>
  <c r="H96" i="2"/>
  <c r="D10" i="3" s="1"/>
  <c r="G96" i="2"/>
  <c r="L99" i="2"/>
  <c r="L100" i="2"/>
  <c r="L97" i="2"/>
  <c r="L95" i="2"/>
  <c r="L96" i="2"/>
  <c r="L98" i="2"/>
  <c r="N98" i="2" s="1"/>
  <c r="F99" i="2"/>
  <c r="B13" i="4" s="1"/>
  <c r="F13" i="4" s="1"/>
  <c r="H13" i="4" s="1"/>
  <c r="E99" i="2"/>
  <c r="G99" i="2"/>
  <c r="AF90" i="2"/>
  <c r="E78" i="7"/>
  <c r="D31" i="6"/>
  <c r="B14" i="3"/>
  <c r="F14" i="3" s="1"/>
  <c r="H14" i="3" s="1"/>
  <c r="J100" i="2"/>
  <c r="F14" i="6" s="1"/>
  <c r="J99" i="2" l="1"/>
  <c r="F13" i="6" s="1"/>
  <c r="B13" i="3"/>
  <c r="F13" i="3" s="1"/>
  <c r="H13" i="3" s="1"/>
  <c r="B10" i="3"/>
  <c r="F10" i="3" s="1"/>
  <c r="H10" i="3" s="1"/>
  <c r="J96" i="2"/>
  <c r="F10" i="6" s="1"/>
  <c r="N99" i="2"/>
  <c r="B9" i="3"/>
  <c r="F9" i="3" s="1"/>
  <c r="H9" i="3" s="1"/>
  <c r="J95" i="2"/>
  <c r="F9" i="6" s="1"/>
  <c r="B13" i="5"/>
  <c r="R98" i="2"/>
  <c r="F13" i="5" s="1"/>
  <c r="H13" i="5" s="1"/>
  <c r="N96" i="2"/>
  <c r="H9" i="6"/>
  <c r="N95" i="2"/>
  <c r="N97" i="2"/>
  <c r="N100" i="2"/>
  <c r="B11" i="5" l="1"/>
  <c r="R96" i="2"/>
  <c r="F11" i="5" s="1"/>
  <c r="H11" i="5" s="1"/>
  <c r="R99" i="2"/>
  <c r="F14" i="5" s="1"/>
  <c r="H14" i="5" s="1"/>
  <c r="B14" i="5"/>
  <c r="R95" i="2"/>
  <c r="F10" i="5" s="1"/>
  <c r="B10" i="5"/>
  <c r="R100" i="2"/>
  <c r="F15" i="5" s="1"/>
  <c r="H15" i="5" s="1"/>
  <c r="B15" i="5"/>
  <c r="B12" i="5"/>
  <c r="R97" i="2"/>
  <c r="F12" i="5" s="1"/>
  <c r="H12" i="5" s="1"/>
  <c r="H10" i="5" l="1"/>
  <c r="D57" i="5"/>
  <c r="D56" i="5"/>
  <c r="D50" i="5"/>
  <c r="D49" i="5"/>
  <c r="D60" i="5"/>
  <c r="D55" i="5"/>
  <c r="D59" i="5"/>
  <c r="D93" i="5"/>
  <c r="D58" i="5"/>
  <c r="D52" i="5"/>
  <c r="D54" i="5"/>
  <c r="D92" i="5"/>
  <c r="D53" i="5"/>
  <c r="D51" i="5"/>
  <c r="D94" i="5"/>
  <c r="F52" i="5" l="1"/>
  <c r="F19" i="6"/>
  <c r="F27" i="6"/>
  <c r="F60" i="5"/>
  <c r="F21" i="6"/>
  <c r="F54" i="5"/>
  <c r="F55" i="5"/>
  <c r="F22" i="6"/>
  <c r="F49" i="5"/>
  <c r="F16" i="6"/>
  <c r="F25" i="6"/>
  <c r="F58" i="5"/>
  <c r="F94" i="5"/>
  <c r="F31" i="6"/>
  <c r="F17" i="6"/>
  <c r="F50" i="5"/>
  <c r="F51" i="5"/>
  <c r="F18" i="6"/>
  <c r="F23" i="6"/>
  <c r="F56" i="5"/>
  <c r="F59" i="5"/>
  <c r="F26" i="6"/>
  <c r="F24" i="6"/>
  <c r="F57" i="5"/>
  <c r="F30" i="6"/>
  <c r="F93" i="5"/>
  <c r="F53" i="5"/>
  <c r="F20" i="6"/>
  <c r="F29" i="6"/>
  <c r="F92" i="5"/>
  <c r="H24" i="6" l="1"/>
  <c r="H57" i="5"/>
  <c r="H59" i="5"/>
  <c r="H26" i="6"/>
  <c r="H55" i="5"/>
  <c r="H22" i="6"/>
  <c r="H60" i="5"/>
  <c r="H27" i="6"/>
  <c r="H49" i="5"/>
  <c r="H16" i="6"/>
  <c r="H29" i="6"/>
  <c r="H92" i="5"/>
  <c r="H17" i="6"/>
  <c r="H50" i="5"/>
  <c r="H53" i="5"/>
  <c r="H20" i="6"/>
  <c r="H25" i="6"/>
  <c r="H58" i="5"/>
  <c r="H23" i="6"/>
  <c r="H56" i="5"/>
  <c r="H21" i="6"/>
  <c r="H54" i="5"/>
  <c r="H51" i="5"/>
  <c r="H18" i="6"/>
  <c r="H30" i="6"/>
  <c r="H93" i="5"/>
  <c r="H94" i="5"/>
  <c r="H31" i="6"/>
  <c r="H52" i="5"/>
  <c r="H19" i="6"/>
</calcChain>
</file>

<file path=xl/sharedStrings.xml><?xml version="1.0" encoding="utf-8"?>
<sst xmlns="http://schemas.openxmlformats.org/spreadsheetml/2006/main" count="871" uniqueCount="450">
  <si>
    <t>PES Institute of Technology &amp; Management, Shivamogga</t>
  </si>
  <si>
    <t>CO, PO &amp; PSO Attainment Format</t>
  </si>
  <si>
    <t>Title of the Program</t>
  </si>
  <si>
    <t xml:space="preserve">UNDER GRADUATE PROGRAM </t>
  </si>
  <si>
    <t>Department</t>
  </si>
  <si>
    <t>Information Science &amp; Engg</t>
  </si>
  <si>
    <t>Academic Year</t>
  </si>
  <si>
    <t>2026-27</t>
  </si>
  <si>
    <t>Continous Internal Evaluation</t>
  </si>
  <si>
    <t>Semester &amp; Section</t>
  </si>
  <si>
    <t>III</t>
  </si>
  <si>
    <t>Course Outcome Attainment in 1st IA</t>
  </si>
  <si>
    <t>Course Outcome Attainment in 2nd IA</t>
  </si>
  <si>
    <t>Course Name</t>
  </si>
  <si>
    <t>First Internal Assessment</t>
  </si>
  <si>
    <t>DATA STRUCTURE AND APPLICATIONS</t>
  </si>
  <si>
    <t>Number of Students</t>
  </si>
  <si>
    <t>Course Code</t>
  </si>
  <si>
    <t>Second Internal Assessment</t>
  </si>
  <si>
    <t>1BCS305</t>
  </si>
  <si>
    <t>NBA Code</t>
  </si>
  <si>
    <t xml:space="preserve">Name of the Faculty </t>
  </si>
  <si>
    <t>Head of the Department</t>
  </si>
  <si>
    <t>Remedial Test</t>
  </si>
  <si>
    <t>Course Target</t>
  </si>
  <si>
    <t>Maximum SEE Marks</t>
  </si>
  <si>
    <t>No. of Students</t>
  </si>
  <si>
    <t>CO's</t>
  </si>
  <si>
    <t>SEE</t>
  </si>
  <si>
    <t>CO-PO Mapping</t>
  </si>
  <si>
    <t>CO-PSO Mapping</t>
  </si>
  <si>
    <t>Attainment through Test</t>
  </si>
  <si>
    <t>PO's</t>
  </si>
  <si>
    <t>Attainment through CCE</t>
  </si>
  <si>
    <t>PSO's</t>
  </si>
  <si>
    <t>Total 
Attainment</t>
  </si>
  <si>
    <t>Remarks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</si>
  <si>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</si>
  <si>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</si>
  <si>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</si>
  <si>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</si>
  <si>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</si>
  <si>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</si>
  <si>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</si>
  <si>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</si>
  <si>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</si>
  <si>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</si>
  <si>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</si>
  <si>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PSO1</t>
  </si>
  <si>
    <t>PSO2</t>
  </si>
  <si>
    <t>PSO3</t>
  </si>
  <si>
    <t>NA</t>
  </si>
  <si>
    <t>Achievable</t>
  </si>
  <si>
    <t>Course Instructor</t>
  </si>
  <si>
    <t>Student Information</t>
  </si>
  <si>
    <t>CIE Marks Allocation</t>
  </si>
  <si>
    <t>Question - CO Mapping</t>
  </si>
  <si>
    <t>Sl. No.</t>
  </si>
  <si>
    <t>USN</t>
  </si>
  <si>
    <t>Name</t>
  </si>
  <si>
    <t>Q. No.</t>
  </si>
  <si>
    <r>
      <rPr>
        <b/>
        <sz val="10"/>
        <color theme="1"/>
        <rFont val="Century Schoolbook"/>
      </rPr>
      <t>1</t>
    </r>
    <r>
      <rPr>
        <b/>
        <vertAlign val="superscript"/>
        <sz val="10"/>
        <color theme="1"/>
        <rFont val="Century Schoolbook"/>
      </rPr>
      <t>st</t>
    </r>
    <r>
      <rPr>
        <b/>
        <sz val="10"/>
        <color theme="1"/>
        <rFont val="Century Schoolbook"/>
      </rPr>
      <t xml:space="preserve"> IA</t>
    </r>
  </si>
  <si>
    <r>
      <rPr>
        <b/>
        <sz val="10"/>
        <color theme="1"/>
        <rFont val="Century Schoolbook"/>
      </rPr>
      <t>2</t>
    </r>
    <r>
      <rPr>
        <b/>
        <vertAlign val="superscript"/>
        <sz val="10"/>
        <color theme="1"/>
        <rFont val="Century Schoolbook"/>
      </rPr>
      <t>nd</t>
    </r>
    <r>
      <rPr>
        <b/>
        <sz val="10"/>
        <color theme="1"/>
        <rFont val="Century Schoolbook"/>
      </rPr>
      <t xml:space="preserve"> IA</t>
    </r>
  </si>
  <si>
    <t>RT1</t>
  </si>
  <si>
    <r>
      <rPr>
        <b/>
        <sz val="10"/>
        <color theme="1"/>
        <rFont val="Century Schoolbook"/>
      </rPr>
      <t>1</t>
    </r>
    <r>
      <rPr>
        <b/>
        <vertAlign val="superscript"/>
        <sz val="10"/>
        <color theme="1"/>
        <rFont val="Century Schoolbook"/>
      </rPr>
      <t>st</t>
    </r>
    <r>
      <rPr>
        <b/>
        <sz val="10"/>
        <color theme="1"/>
        <rFont val="Century Schoolbook"/>
      </rPr>
      <t xml:space="preserve"> IA</t>
    </r>
  </si>
  <si>
    <r>
      <rPr>
        <b/>
        <sz val="10"/>
        <color theme="1"/>
        <rFont val="Century Schoolbook"/>
      </rPr>
      <t>2</t>
    </r>
    <r>
      <rPr>
        <b/>
        <vertAlign val="superscript"/>
        <sz val="10"/>
        <color theme="1"/>
        <rFont val="Century Schoolbook"/>
      </rPr>
      <t>nd</t>
    </r>
    <r>
      <rPr>
        <b/>
        <sz val="10"/>
        <color theme="1"/>
        <rFont val="Century Schoolbook"/>
      </rPr>
      <t xml:space="preserve"> IA</t>
    </r>
  </si>
  <si>
    <t>1a / 2a</t>
  </si>
  <si>
    <t>1b / 2b</t>
  </si>
  <si>
    <t>1c / 2c</t>
  </si>
  <si>
    <t>3a / 4a</t>
  </si>
  <si>
    <t>Question Number</t>
  </si>
  <si>
    <t>3b / 4b</t>
  </si>
  <si>
    <t>3c / 4c</t>
  </si>
  <si>
    <t>5a / 6a</t>
  </si>
  <si>
    <t>5b / 6b</t>
  </si>
  <si>
    <t>T-IA</t>
  </si>
  <si>
    <t>5c / 6c</t>
  </si>
  <si>
    <t>RT2</t>
  </si>
  <si>
    <t>LAB CIE</t>
  </si>
  <si>
    <t>LAB IA</t>
  </si>
  <si>
    <t>CCE</t>
  </si>
  <si>
    <r>
      <rPr>
        <sz val="13"/>
        <color theme="1"/>
        <rFont val="Century Schoolbook"/>
      </rPr>
      <t xml:space="preserve">PES Institute of Technology &amp; Management, Shivamogga                                          </t>
    </r>
    <r>
      <rPr>
        <sz val="11"/>
        <color theme="1"/>
        <rFont val="Century Schoolbook"/>
      </rPr>
      <t xml:space="preserve">     NH-206, SAGAR ROAD, SHIVAMOGGA - 577204</t>
    </r>
  </si>
  <si>
    <t xml:space="preserve"> Semester</t>
  </si>
  <si>
    <t>PESITM - IQAC - Form 10C / R0 – Course Closure Report</t>
  </si>
  <si>
    <t>CO Attainment Through CIE</t>
  </si>
  <si>
    <t>CO Attainment Through SEE</t>
  </si>
  <si>
    <t>Program Outcomes</t>
  </si>
  <si>
    <t>Attained</t>
  </si>
  <si>
    <t>Percentage</t>
  </si>
  <si>
    <t>PO12</t>
  </si>
  <si>
    <t>Program Specific Outcomes</t>
  </si>
  <si>
    <t>Remarks by Course Instructor:</t>
  </si>
  <si>
    <r>
      <rPr>
        <sz val="13"/>
        <color theme="1"/>
        <rFont val="Century Schoolbook"/>
      </rPr>
      <t xml:space="preserve">        PES Institute of Technology &amp; Management, Shivamogga                    </t>
    </r>
    <r>
      <rPr>
        <sz val="11"/>
        <color theme="1"/>
        <rFont val="Century Schoolbook"/>
      </rPr>
      <t>NH-206, SAGAR ROAD, SHIVAMOGGA - 577204</t>
    </r>
  </si>
  <si>
    <t>PESITM - IQAC - Form 10B / R0 – Attainments</t>
  </si>
  <si>
    <t>Course Outcome Attainment</t>
  </si>
  <si>
    <t>Direct Attainment</t>
  </si>
  <si>
    <t>Indirect Attainment</t>
  </si>
  <si>
    <t>Program Outcome Attainment</t>
  </si>
  <si>
    <t xml:space="preserve">Percentage </t>
  </si>
  <si>
    <t>PES INSTITUTE OF TECHNOLOGY &amp; MANAGEMENT</t>
  </si>
  <si>
    <t>NH-206, SAGAR ROAD, SHIVAMOGGA - 577204</t>
  </si>
  <si>
    <t>Academic Year:</t>
  </si>
  <si>
    <t>Semester:</t>
  </si>
  <si>
    <t>Program Specific Outcome Attainment</t>
  </si>
  <si>
    <t>Section:</t>
  </si>
  <si>
    <t>Course:</t>
  </si>
  <si>
    <t>Course Code:</t>
  </si>
  <si>
    <t>Course Instructor:</t>
  </si>
  <si>
    <t xml:space="preserve">Attendance Status &amp; </t>
  </si>
  <si>
    <t>IA Marks</t>
  </si>
  <si>
    <t>Name of the Student</t>
  </si>
  <si>
    <t>NCC</t>
  </si>
  <si>
    <t>NCA</t>
  </si>
  <si>
    <t>Attendance %</t>
  </si>
  <si>
    <t>Assessment Parameters</t>
  </si>
  <si>
    <t>Attainment Calculation - CIE 1</t>
  </si>
  <si>
    <t>Attainment Calculation - CIE 2</t>
  </si>
  <si>
    <t>Attainment Calculation - CIE 3</t>
  </si>
  <si>
    <t>CO's Mapped</t>
  </si>
  <si>
    <t>Number of Participation</t>
  </si>
  <si>
    <t>Maximum Marks Alloted</t>
  </si>
  <si>
    <t>% of Alloted Marks</t>
  </si>
  <si>
    <t>Number of Students Scoring More than Target</t>
  </si>
  <si>
    <t>PESITM - IQAC - Form 22 / R0 – CIE &amp; SEE Marks</t>
  </si>
  <si>
    <t>DEPARTMENT OF xxxxxx ENGINEERING</t>
  </si>
  <si>
    <t>Course Name:</t>
  </si>
  <si>
    <t>Semester  :</t>
  </si>
  <si>
    <t>NBA Code:</t>
  </si>
  <si>
    <t>Pecentage of Students Achieving Target</t>
  </si>
  <si>
    <t>Scheme of Study:</t>
  </si>
  <si>
    <t>CIE : SEE</t>
  </si>
  <si>
    <t>Date:</t>
  </si>
  <si>
    <t>IA 1</t>
  </si>
  <si>
    <t>IA 2</t>
  </si>
  <si>
    <t>IA3</t>
  </si>
  <si>
    <t>CCE 1</t>
  </si>
  <si>
    <t>CCE 2</t>
  </si>
  <si>
    <t>CCE 3</t>
  </si>
  <si>
    <t>CIE Marks</t>
  </si>
  <si>
    <t>SEE Marks</t>
  </si>
  <si>
    <t>Course End Survey (on scale of 3)</t>
  </si>
  <si>
    <t>IA2</t>
  </si>
  <si>
    <t>RT</t>
  </si>
  <si>
    <t>AVG</t>
  </si>
  <si>
    <t>Direct</t>
  </si>
  <si>
    <t>Indirect</t>
  </si>
  <si>
    <t>Total</t>
  </si>
  <si>
    <t>Total Number of Students</t>
  </si>
  <si>
    <t>Number of Absentees</t>
  </si>
  <si>
    <t>Number of Students Scoring Between 0 &amp; 20</t>
  </si>
  <si>
    <t>Number of Students Scoring Between 21 &amp; 40</t>
  </si>
  <si>
    <t>Number of Students Scoring Between 41 &amp; 50</t>
  </si>
  <si>
    <t>Number of Students with Less than 85% Attendance</t>
  </si>
  <si>
    <t xml:space="preserve">        (Signature of Course Instructor)                                       (Signature of the HOD)</t>
  </si>
  <si>
    <t>Average Marks</t>
  </si>
  <si>
    <t>Percentage of Marks Scored</t>
  </si>
  <si>
    <t>(Signature of Course Instructor)</t>
  </si>
  <si>
    <t>(Signature of HOD)</t>
  </si>
  <si>
    <t>Name of Course Instructor</t>
  </si>
  <si>
    <t>PESITM - IQAC - Record No. 4A / R1 - CO's and Mapping with PO's &amp; PSO's</t>
  </si>
  <si>
    <t>PESITM - IQAC - Record No. 4B / R0 - Justifiation for Mapping of CO's with PO's &amp; PSO's</t>
  </si>
  <si>
    <t>Course Outcomes</t>
  </si>
  <si>
    <t>CO1</t>
  </si>
  <si>
    <t>CO2</t>
  </si>
  <si>
    <t>CO3</t>
  </si>
  <si>
    <t>CO4</t>
  </si>
  <si>
    <t>CO5</t>
  </si>
  <si>
    <t>PO / PSO</t>
  </si>
  <si>
    <t>CO -PO Articulation Matrix</t>
  </si>
  <si>
    <t>Mapping</t>
  </si>
  <si>
    <t>Justification</t>
  </si>
  <si>
    <t>Signature of Course Instructor</t>
  </si>
  <si>
    <t>Signature of HOD</t>
  </si>
  <si>
    <t>CO -PSO Articulation Matrix</t>
  </si>
  <si>
    <t xml:space="preserve">   PES INSTITUTE OF TECHNOLOGY &amp; MANAGEMENT</t>
  </si>
  <si>
    <t>PESITM - IQAC - Record No. 3B / R0 - Individual Timetable</t>
  </si>
  <si>
    <t>DEPARTMENT OF XXXXX ENGINEERING</t>
  </si>
  <si>
    <t>Name of the Faculty:</t>
  </si>
  <si>
    <t>Designation:</t>
  </si>
  <si>
    <t>ASSISTANT PROFESSOR</t>
  </si>
  <si>
    <t>Effective From: 31-8-2026</t>
  </si>
  <si>
    <t>Day / Time</t>
  </si>
  <si>
    <t>08:00 
to 
09:00</t>
  </si>
  <si>
    <t>09:00 
to 
10:00</t>
  </si>
  <si>
    <t>10:00 
to 
10:30</t>
  </si>
  <si>
    <t>10:30 
to 
11:30</t>
  </si>
  <si>
    <t>11:30 
to 
12:30</t>
  </si>
  <si>
    <t>12:30 
to 
01:30</t>
  </si>
  <si>
    <t>01:30 
to 
02:30</t>
  </si>
  <si>
    <t>02:30 
to 
03:30</t>
  </si>
  <si>
    <t>03:30 
to 
04:30</t>
  </si>
  <si>
    <t>Monday</t>
  </si>
  <si>
    <t>B
R
E
A
K</t>
  </si>
  <si>
    <t>L
U
N
C
H</t>
  </si>
  <si>
    <t>Tuesday</t>
  </si>
  <si>
    <t>Wednesday</t>
  </si>
  <si>
    <t>Thursday</t>
  </si>
  <si>
    <t>Friday</t>
  </si>
  <si>
    <t>Saturday</t>
  </si>
  <si>
    <t>Semester</t>
  </si>
  <si>
    <t>Hours</t>
  </si>
  <si>
    <t>Units</t>
  </si>
  <si>
    <t>Total Workload</t>
  </si>
  <si>
    <t>Additional Responsibilities</t>
  </si>
  <si>
    <t xml:space="preserve">          NH-206, SAGAR ROAD, SHIVAMOGGA - 577204</t>
  </si>
  <si>
    <t>PESITM - IQAC - Record No. 05 A / R3 - Lesson Schedule (Theory Course)</t>
  </si>
  <si>
    <t>DEPARTMENT OF INFORMATION SCIENCE ENGINEERING</t>
  </si>
  <si>
    <t xml:space="preserve">Acadmic Year: </t>
  </si>
  <si>
    <t xml:space="preserve">Course Name: </t>
  </si>
  <si>
    <t>Data Structures and Applications</t>
  </si>
  <si>
    <t>Signature of Coordinator</t>
  </si>
  <si>
    <t>(Name of Coordinator)</t>
  </si>
  <si>
    <t xml:space="preserve">Course Instructor: </t>
  </si>
  <si>
    <t>Mrs. Thara K L</t>
  </si>
  <si>
    <t xml:space="preserve">Total Hours of Pedagogy: </t>
  </si>
  <si>
    <t>Teaching Hours per Week (L:T:P:S):                 Commencement of Semester:                            Last Working Day:</t>
  </si>
  <si>
    <t>Lecture Number</t>
  </si>
  <si>
    <t>Module</t>
  </si>
  <si>
    <t>Topics to be Covered</t>
  </si>
  <si>
    <t>Planned Date</t>
  </si>
  <si>
    <t>Date of Delivery</t>
  </si>
  <si>
    <t>PESITM - IQAC - Record No. 05 B / R3 - Lesson Schedule (Laboratory Course)</t>
  </si>
  <si>
    <t>Rescheduled Date
(In case of deviation)</t>
  </si>
  <si>
    <t>Mode of Content Delivery</t>
  </si>
  <si>
    <t>MODULE 1</t>
  </si>
  <si>
    <t>DEPARTMENT OF XXXXXXXXXXXXXXXXXXXX ENGINEERING</t>
  </si>
  <si>
    <t>Content beyond syllabus / advanced topics (if any)</t>
  </si>
  <si>
    <t>Remarks by Course Instructor on completion of Module:</t>
  </si>
  <si>
    <t>MODULE 2</t>
  </si>
  <si>
    <t>Experiment Number</t>
  </si>
  <si>
    <t>Batch</t>
  </si>
  <si>
    <t>Title of the Experiment</t>
  </si>
  <si>
    <t>B1</t>
  </si>
  <si>
    <t>B2</t>
  </si>
  <si>
    <t>B3</t>
  </si>
  <si>
    <t>MODULE 3</t>
  </si>
  <si>
    <t>MODULE 4</t>
  </si>
  <si>
    <t>MODULE 5</t>
  </si>
  <si>
    <t xml:space="preserve">Signature of Course Instructor                                                                              Signature of HOD                                </t>
  </si>
  <si>
    <t>Remarks by Course Instructor on completion of Laboratory:</t>
  </si>
  <si>
    <t>Signature of Course Instructor                                                                                         Signature of HOD</t>
  </si>
  <si>
    <t>PESITM - IQAC - Record No. 05 C / R3 - Lesson Schedule (Integrated Course)</t>
  </si>
  <si>
    <t>Teaching Hours per Week (L:T:P:S):          Commencement of Semester:     Last Working Day:</t>
  </si>
  <si>
    <t>PESITM - IQAC - Form 7A / R1 - Timetable for Remedial Class &amp; Additional Support</t>
  </si>
  <si>
    <t>DEPARTMENT OF XXXXXX ENGINEERING</t>
  </si>
  <si>
    <t>PESITM - IQAC - Form 7B / R1 - ATR of Remedial Class</t>
  </si>
  <si>
    <t>DEPARTMENT OF XXXXXXX ENGINEERING</t>
  </si>
  <si>
    <t>Remedial Class for Slow Learners of</t>
  </si>
  <si>
    <t>First</t>
  </si>
  <si>
    <t>IA</t>
  </si>
  <si>
    <t>Date</t>
  </si>
  <si>
    <t>Time</t>
  </si>
  <si>
    <t>CO's to be Addressed</t>
  </si>
  <si>
    <t>Sem &amp; Section:</t>
  </si>
  <si>
    <t>PESITM - IQAC - Form 7C / R1 - ATR of Additional Support</t>
  </si>
  <si>
    <t>DEPARTMENT OF XXXXXXXXX ENGINEERING</t>
  </si>
  <si>
    <t>Date of Remedial Class:</t>
  </si>
  <si>
    <t>Time:</t>
  </si>
  <si>
    <t>CO Attainment in 1st Internal Assessment</t>
  </si>
  <si>
    <t>Additional Support for Advanced Learners of</t>
  </si>
  <si>
    <t>Signature of Course Instructor                                                                              Signature of HOD</t>
  </si>
  <si>
    <t>CO1:                CO2:               CO3:               CO4:                CO5:                CO6:</t>
  </si>
  <si>
    <t>Name of the Faculty</t>
  </si>
  <si>
    <t xml:space="preserve">CO's Addressed in Remedial Class: </t>
  </si>
  <si>
    <t>Date of Additional Support:</t>
  </si>
  <si>
    <t>Plan of Action for Advanced Learners</t>
  </si>
  <si>
    <t>Signature of the Student</t>
  </si>
  <si>
    <t>Details of additional support along with PO's &amp; PSO's addreesed in additional support:</t>
  </si>
  <si>
    <t>(Signature of Class Teacher)                                                                (Signature of HOD)</t>
  </si>
  <si>
    <t>(Signature of Class Teacher)                                                                  (Signature of HOD)</t>
  </si>
  <si>
    <t>(Signature of Course Instructor)                                                           (Signature of HOD)</t>
  </si>
  <si>
    <t>PESITM - IQAC - Record No. 21A / R0 - Assignment &amp; Activity as Part of CCE</t>
  </si>
  <si>
    <t>DEPARTMENT OF XXXX ENGINEERING</t>
  </si>
  <si>
    <t xml:space="preserve">Acadmic Year:                          </t>
  </si>
  <si>
    <t>Semester / Section:</t>
  </si>
  <si>
    <t>University Course Code:</t>
  </si>
  <si>
    <t>Maximum Marks:</t>
  </si>
  <si>
    <t>Assignment on
TITLE OF THE ASSIGNMENT / ACTIVITY</t>
  </si>
  <si>
    <t>Course Outcomes Addressed</t>
  </si>
  <si>
    <t>Program Outcomes Addressed</t>
  </si>
  <si>
    <t>Program Specific Outcomes Addressed</t>
  </si>
  <si>
    <t>Date of Announcement</t>
  </si>
  <si>
    <t>Last Date for Submission</t>
  </si>
  <si>
    <t xml:space="preserve">
Details of the Assignment / Activity:</t>
  </si>
  <si>
    <t/>
  </si>
  <si>
    <t xml:space="preserve">Signature of Course Instructor                                                     Signature of HOD                </t>
  </si>
  <si>
    <t>Assignment on
TITLE OF THE ASSIGNMENT / ACTIVITY
As Part of Continuous Comprehenive Evaluation</t>
  </si>
  <si>
    <r>
      <rPr>
        <b/>
        <sz val="18"/>
        <color theme="1"/>
        <rFont val="Century Schoolbook"/>
      </rPr>
      <t xml:space="preserve">PES Institute of Technology &amp;Management                                        </t>
    </r>
    <r>
      <rPr>
        <b/>
        <sz val="14"/>
        <color theme="1"/>
        <rFont val="Century Schoolbook"/>
      </rPr>
      <t xml:space="preserve">                                                                  </t>
    </r>
    <r>
      <rPr>
        <b/>
        <sz val="11"/>
        <color theme="1"/>
        <rFont val="Century Schoolbook"/>
      </rPr>
      <t xml:space="preserve">Affiliated to VTU, Belagavi | Approved by AICTE, New Delhi | Recognized by Go. K. | Accredited by NAAC with ‘A’ Grade           </t>
    </r>
  </si>
  <si>
    <t>University Seat Number</t>
  </si>
  <si>
    <t>NH-206, Sagar Road, Shivamogga-577 204</t>
  </si>
  <si>
    <t>Date of Submission</t>
  </si>
  <si>
    <t>Maximum Marks</t>
  </si>
  <si>
    <t>Marks Awarded</t>
  </si>
  <si>
    <r>
      <rPr>
        <b/>
        <sz val="10"/>
        <color theme="1"/>
        <rFont val="Century Schoolbook"/>
      </rPr>
      <t>Program</t>
    </r>
  </si>
  <si>
    <r>
      <rPr>
        <b/>
        <sz val="10"/>
        <color theme="1"/>
        <rFont val="Century Schoolbook"/>
      </rPr>
      <t>Maximum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Marks</t>
    </r>
  </si>
  <si>
    <r>
      <rPr>
        <b/>
        <sz val="10"/>
        <color theme="1"/>
        <rFont val="Century Schoolbook"/>
      </rPr>
      <t>Name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of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the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Student</t>
    </r>
  </si>
  <si>
    <r>
      <rPr>
        <b/>
        <sz val="10"/>
        <color theme="1"/>
        <rFont val="Century Schoolbook"/>
      </rPr>
      <t>Academic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Year</t>
    </r>
  </si>
  <si>
    <r>
      <rPr>
        <b/>
        <sz val="10"/>
        <color theme="1"/>
        <rFont val="Century Schoolbook"/>
      </rPr>
      <t>Semester</t>
    </r>
  </si>
  <si>
    <r>
      <rPr>
        <b/>
        <sz val="10"/>
        <color theme="1"/>
        <rFont val="Century Schoolbook"/>
      </rPr>
      <t>USN</t>
    </r>
  </si>
  <si>
    <r>
      <rPr>
        <b/>
        <sz val="18"/>
        <color theme="1"/>
        <rFont val="Century Schoolbook"/>
      </rPr>
      <t xml:space="preserve">PES Institute of Technology &amp;Management                                        </t>
    </r>
    <r>
      <rPr>
        <b/>
        <sz val="14"/>
        <color theme="1"/>
        <rFont val="Century Schoolbook"/>
      </rPr>
      <t xml:space="preserve">                                       </t>
    </r>
    <r>
      <rPr>
        <b/>
        <sz val="11"/>
        <color theme="1"/>
        <rFont val="Century Schoolbook"/>
      </rPr>
      <t>Affiliated to VTU, Belagavi | Approved by AICTE, New Delhi | Recognized by Go. K. | Accredited by NAAC with ‘A’ Grade</t>
    </r>
  </si>
  <si>
    <r>
      <rPr>
        <b/>
        <sz val="10"/>
        <color theme="1"/>
        <rFont val="Century Schoolbook"/>
      </rPr>
      <t>Course</t>
    </r>
  </si>
  <si>
    <r>
      <rPr>
        <b/>
        <sz val="10"/>
        <color theme="1"/>
        <rFont val="Century Schoolbook"/>
      </rPr>
      <t>Branch</t>
    </r>
  </si>
  <si>
    <r>
      <rPr>
        <b/>
        <sz val="10"/>
        <color theme="1"/>
        <rFont val="Century Schoolbook"/>
      </rPr>
      <t>University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Code</t>
    </r>
  </si>
  <si>
    <r>
      <rPr>
        <b/>
        <sz val="10"/>
        <color theme="1"/>
        <rFont val="Century Schoolbook"/>
      </rPr>
      <t>Course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Code</t>
    </r>
  </si>
  <si>
    <r>
      <rPr>
        <b/>
        <i/>
        <sz val="13"/>
        <color theme="1"/>
        <rFont val="Century Schoolbook"/>
      </rPr>
      <t>First</t>
    </r>
    <r>
      <rPr>
        <sz val="13"/>
        <color theme="1"/>
        <rFont val="Times New Roman"/>
      </rPr>
      <t xml:space="preserve"> </t>
    </r>
    <r>
      <rPr>
        <b/>
        <i/>
        <sz val="13"/>
        <color theme="1"/>
        <rFont val="Century Schoolbook"/>
      </rPr>
      <t>Internal</t>
    </r>
    <r>
      <rPr>
        <sz val="13"/>
        <color theme="1"/>
        <rFont val="Times New Roman"/>
      </rPr>
      <t xml:space="preserve"> </t>
    </r>
    <r>
      <rPr>
        <b/>
        <i/>
        <sz val="13"/>
        <color theme="1"/>
        <rFont val="Century Schoolbook"/>
      </rPr>
      <t>Assessment</t>
    </r>
  </si>
  <si>
    <r>
      <rPr>
        <b/>
        <sz val="10"/>
        <color theme="1"/>
        <rFont val="Century Schoolbook"/>
      </rPr>
      <t>Semester:</t>
    </r>
  </si>
  <si>
    <r>
      <rPr>
        <b/>
        <sz val="10"/>
        <color theme="1"/>
        <rFont val="Century Schoolbook"/>
      </rPr>
      <t>Section:</t>
    </r>
  </si>
  <si>
    <r>
      <rPr>
        <sz val="11"/>
        <color theme="1"/>
        <rFont val="Century Schoolbook"/>
      </rPr>
      <t>Program</t>
    </r>
  </si>
  <si>
    <r>
      <rPr>
        <b/>
        <sz val="10"/>
        <color theme="1"/>
        <rFont val="Century Schoolbook"/>
      </rPr>
      <t>Date</t>
    </r>
  </si>
  <si>
    <r>
      <rPr>
        <sz val="11"/>
        <color theme="1"/>
        <rFont val="Century Schoolbook"/>
      </rPr>
      <t>UG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Program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</si>
  <si>
    <r>
      <rPr>
        <b/>
        <sz val="10"/>
        <color theme="1"/>
        <rFont val="Century Schoolbook"/>
      </rPr>
      <t>Time</t>
    </r>
  </si>
  <si>
    <r>
      <rPr>
        <sz val="11"/>
        <color theme="1"/>
        <rFont val="Century Schoolbook"/>
      </rPr>
      <t>Academic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Year</t>
    </r>
  </si>
  <si>
    <r>
      <rPr>
        <b/>
        <sz val="10"/>
        <color theme="1"/>
        <rFont val="Century Schoolbook"/>
      </rPr>
      <t>Student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Signature</t>
    </r>
  </si>
  <si>
    <r>
      <rPr>
        <b/>
        <sz val="10"/>
        <color theme="1"/>
        <rFont val="Century Schoolbook"/>
      </rPr>
      <t>Note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/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Instructions</t>
    </r>
  </si>
  <si>
    <r>
      <rPr>
        <sz val="11"/>
        <color theme="1"/>
        <rFont val="Century Schoolbook"/>
      </rPr>
      <t>Semester</t>
    </r>
  </si>
  <si>
    <r>
      <rPr>
        <b/>
        <sz val="9"/>
        <color theme="1"/>
        <rFont val="Century Schoolbook"/>
      </rPr>
      <t>1.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Answer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all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the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questions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by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bubbling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the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circle</t>
    </r>
  </si>
  <si>
    <r>
      <rPr>
        <b/>
        <sz val="8"/>
        <color theme="1"/>
        <rFont val="Century Schoolbook"/>
      </rPr>
      <t>CO</t>
    </r>
  </si>
  <si>
    <t>Marks</t>
  </si>
  <si>
    <r>
      <rPr>
        <b/>
        <sz val="11"/>
        <color theme="1"/>
        <rFont val="Century Schoolbook"/>
      </rPr>
      <t>Q.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No.</t>
    </r>
  </si>
  <si>
    <r>
      <rPr>
        <sz val="11"/>
        <color theme="1"/>
        <rFont val="Century Schoolbook"/>
      </rPr>
      <t>Course</t>
    </r>
  </si>
  <si>
    <r>
      <rPr>
        <b/>
        <sz val="11"/>
        <color theme="1"/>
        <rFont val="Century Schoolbook"/>
      </rPr>
      <t>a</t>
    </r>
  </si>
  <si>
    <r>
      <rPr>
        <b/>
        <sz val="11"/>
        <color theme="1"/>
        <rFont val="Century Schoolbook"/>
      </rPr>
      <t>b</t>
    </r>
  </si>
  <si>
    <r>
      <rPr>
        <b/>
        <sz val="11"/>
        <color theme="1"/>
        <rFont val="Century Schoolbook"/>
      </rPr>
      <t>c</t>
    </r>
  </si>
  <si>
    <r>
      <rPr>
        <b/>
        <sz val="11"/>
        <color theme="1"/>
        <rFont val="Century Schoolbook"/>
      </rPr>
      <t>d</t>
    </r>
  </si>
  <si>
    <r>
      <rPr>
        <sz val="11"/>
        <color theme="1"/>
        <rFont val="Century Schoolbook"/>
      </rPr>
      <t>University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Code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</si>
  <si>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Code</t>
    </r>
  </si>
  <si>
    <r>
      <rPr>
        <sz val="11"/>
        <color theme="1"/>
        <rFont val="Century Schoolbook"/>
      </rPr>
      <t>Date</t>
    </r>
  </si>
  <si>
    <r>
      <rPr>
        <sz val="11"/>
        <color theme="1"/>
        <rFont val="Century Schoolbook"/>
      </rPr>
      <t>Time</t>
    </r>
  </si>
  <si>
    <r>
      <rPr>
        <sz val="11"/>
        <color theme="1"/>
        <rFont val="Century Schoolbook"/>
      </rPr>
      <t>(90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Min.)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</si>
  <si>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Instructor</t>
    </r>
  </si>
  <si>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</si>
  <si>
    <r>
      <rPr>
        <b/>
        <sz val="11"/>
        <color theme="1"/>
        <rFont val="Century Schoolbook"/>
      </rPr>
      <t>Note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Instructions</t>
    </r>
  </si>
  <si>
    <r>
      <rPr>
        <b/>
        <sz val="9"/>
        <color theme="1"/>
        <rFont val="Century Schoolbook"/>
      </rPr>
      <t>1.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Answer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three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questions,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selecting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one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full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question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from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each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module</t>
    </r>
  </si>
  <si>
    <r>
      <rPr>
        <b/>
        <sz val="8"/>
        <color theme="1"/>
        <rFont val="Cambria"/>
      </rPr>
      <t>CO’s</t>
    </r>
  </si>
  <si>
    <r>
      <rPr>
        <b/>
        <sz val="8"/>
        <color theme="1"/>
        <rFont val="Cambria"/>
      </rPr>
      <t>RBT</t>
    </r>
  </si>
  <si>
    <r>
      <rPr>
        <b/>
        <sz val="8"/>
        <color theme="1"/>
        <rFont val="Cambria"/>
      </rPr>
      <t>Marks</t>
    </r>
  </si>
  <si>
    <r>
      <rPr>
        <b/>
        <sz val="11"/>
        <color theme="1"/>
        <rFont val="Cambria"/>
      </rPr>
      <t>Module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ambria"/>
      </rPr>
      <t>1</t>
    </r>
  </si>
  <si>
    <r>
      <rPr>
        <sz val="11"/>
        <color theme="1"/>
        <rFont val="Cambria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</si>
  <si>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three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1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CO1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(2+6+12),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(3+7+10),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(10+10)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 xml:space="preserve">of
</t>
    </r>
    <r>
      <rPr>
        <sz val="11"/>
        <color theme="1"/>
        <rFont val="Century Schoolbook"/>
      </rPr>
      <t>learning</t>
    </r>
  </si>
  <si>
    <r>
      <rPr>
        <sz val="11"/>
        <color theme="1"/>
        <rFont val="Cambria"/>
      </rPr>
      <t>b</t>
    </r>
  </si>
  <si>
    <r>
      <rPr>
        <sz val="11"/>
        <color theme="1"/>
        <rFont val="Cambria"/>
      </rPr>
      <t>c</t>
    </r>
  </si>
  <si>
    <r>
      <rPr>
        <b/>
        <sz val="10"/>
        <color theme="1"/>
        <rFont val="Century Schoolbook"/>
      </rPr>
      <t>Note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/</t>
    </r>
    <r>
      <rPr>
        <sz val="10"/>
        <color theme="1"/>
        <rFont val="Times New Roman"/>
      </rPr>
      <t xml:space="preserve"> </t>
    </r>
    <r>
      <rPr>
        <b/>
        <sz val="10"/>
        <color theme="1"/>
        <rFont val="Century Schoolbook"/>
      </rPr>
      <t>Instructions</t>
    </r>
  </si>
  <si>
    <r>
      <rPr>
        <b/>
        <sz val="11"/>
        <color theme="1"/>
        <rFont val="Cambria"/>
      </rPr>
      <t>OR</t>
    </r>
  </si>
  <si>
    <r>
      <rPr>
        <b/>
        <sz val="9"/>
        <color theme="1"/>
        <rFont val="Century Schoolbook"/>
      </rPr>
      <t>1.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Answer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all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the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questions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by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bubbling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the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circle</t>
    </r>
  </si>
  <si>
    <r>
      <rPr>
        <b/>
        <sz val="8"/>
        <color theme="1"/>
        <rFont val="Century Schoolbook"/>
      </rPr>
      <t>CO</t>
    </r>
  </si>
  <si>
    <r>
      <rPr>
        <b/>
        <sz val="8"/>
        <color theme="1"/>
        <rFont val="Century Schoolbook"/>
      </rPr>
      <t>Mark</t>
    </r>
  </si>
  <si>
    <r>
      <rPr>
        <sz val="11"/>
        <color theme="1"/>
        <rFont val="Cambria"/>
      </rPr>
      <t>a</t>
    </r>
  </si>
  <si>
    <r>
      <rPr>
        <b/>
        <sz val="11"/>
        <color theme="1"/>
        <rFont val="Century Schoolbook"/>
      </rPr>
      <t>Q.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No.</t>
    </r>
  </si>
  <si>
    <r>
      <rPr>
        <b/>
        <sz val="11"/>
        <color theme="1"/>
        <rFont val="Century Schoolbook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</si>
  <si>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three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1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CO1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(2+6+12),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(3+7+10),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(10+10)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learning</t>
    </r>
  </si>
  <si>
    <r>
      <rPr>
        <b/>
        <sz val="11"/>
        <color theme="1"/>
        <rFont val="Century Schoolbook"/>
      </rPr>
      <t>b</t>
    </r>
  </si>
  <si>
    <r>
      <rPr>
        <b/>
        <sz val="11"/>
        <color theme="1"/>
        <rFont val="Century Schoolbook"/>
      </rPr>
      <t>c</t>
    </r>
  </si>
  <si>
    <r>
      <rPr>
        <b/>
        <sz val="11"/>
        <color theme="1"/>
        <rFont val="Century Schoolbook"/>
      </rPr>
      <t>d</t>
    </r>
  </si>
  <si>
    <r>
      <rPr>
        <sz val="11"/>
        <color theme="1"/>
        <rFont val="Cambria"/>
      </rPr>
      <t>b</t>
    </r>
  </si>
  <si>
    <r>
      <rPr>
        <sz val="11"/>
        <color theme="1"/>
        <rFont val="Cambria"/>
      </rPr>
      <t>c</t>
    </r>
  </si>
  <si>
    <r>
      <rPr>
        <b/>
        <sz val="11"/>
        <color theme="1"/>
        <rFont val="Cambria"/>
      </rPr>
      <t>Module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ambria"/>
      </rPr>
      <t>2</t>
    </r>
  </si>
  <si>
    <r>
      <rPr>
        <sz val="11"/>
        <color theme="1"/>
        <rFont val="Cambria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</si>
  <si>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three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CO2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(2+6+12),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(3+7+10),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(10+10)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learning</t>
    </r>
  </si>
  <si>
    <r>
      <rPr>
        <sz val="11"/>
        <color theme="1"/>
        <rFont val="Cambria"/>
      </rPr>
      <t>b</t>
    </r>
  </si>
  <si>
    <r>
      <rPr>
        <sz val="11"/>
        <color theme="1"/>
        <rFont val="Cambria"/>
      </rPr>
      <t>c</t>
    </r>
  </si>
  <si>
    <r>
      <rPr>
        <b/>
        <sz val="11"/>
        <color theme="1"/>
        <rFont val="Cambria"/>
      </rPr>
      <t>OR</t>
    </r>
  </si>
  <si>
    <r>
      <rPr>
        <sz val="11"/>
        <color theme="1"/>
        <rFont val="Cambria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</si>
  <si>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three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CO2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20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(2+6+12),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(3+7+10),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(10+10)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learning</t>
    </r>
  </si>
  <si>
    <r>
      <rPr>
        <sz val="11"/>
        <color theme="1"/>
        <rFont val="Cambria"/>
      </rPr>
      <t>b</t>
    </r>
  </si>
  <si>
    <r>
      <rPr>
        <sz val="11"/>
        <color theme="1"/>
        <rFont val="Cambria"/>
      </rPr>
      <t>c</t>
    </r>
  </si>
  <si>
    <r>
      <rPr>
        <b/>
        <sz val="11"/>
        <color theme="1"/>
        <rFont val="Cambria"/>
      </rPr>
      <t>Module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ambria"/>
      </rPr>
      <t>3</t>
    </r>
  </si>
  <si>
    <r>
      <rPr>
        <sz val="11"/>
        <color theme="1"/>
        <rFont val="Cambria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</si>
  <si>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two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3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CO3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10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(2+8),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(5+5)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 xml:space="preserve">for
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learning</t>
    </r>
  </si>
  <si>
    <r>
      <rPr>
        <sz val="11"/>
        <color theme="1"/>
        <rFont val="Cambria"/>
      </rPr>
      <t>b</t>
    </r>
  </si>
  <si>
    <r>
      <rPr>
        <b/>
        <sz val="11"/>
        <color theme="1"/>
        <rFont val="Cambria"/>
      </rPr>
      <t>OR</t>
    </r>
  </si>
  <si>
    <r>
      <rPr>
        <sz val="11"/>
        <color theme="1"/>
        <rFont val="Cambria"/>
      </rPr>
      <t>a</t>
    </r>
  </si>
  <si>
    <r>
      <rPr>
        <sz val="11"/>
        <color theme="1"/>
        <rFont val="Century Schoolbook"/>
      </rPr>
      <t>Minimum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one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and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two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from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Module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3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 </t>
    </r>
    <r>
      <rPr>
        <sz val="11"/>
        <color theme="1"/>
        <rFont val="Century Schoolbook"/>
      </rPr>
      <t>CO3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 xml:space="preserve">for
</t>
    </r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10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any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combination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(2+8),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(5+5)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as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suitable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for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the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content,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considering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different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levels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learning</t>
    </r>
  </si>
  <si>
    <r>
      <rPr>
        <sz val="11"/>
        <color theme="1"/>
        <rFont val="Cambria"/>
      </rPr>
      <t>b</t>
    </r>
  </si>
  <si>
    <r>
      <rPr>
        <sz val="11"/>
        <color theme="1"/>
        <rFont val="Century Schoolbook"/>
      </rPr>
      <t>Remarks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Reviewer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</si>
  <si>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Instructor/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Paper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Setter</t>
    </r>
  </si>
  <si>
    <r>
      <rPr>
        <sz val="11"/>
        <color theme="1"/>
        <rFont val="Century Schoolbook"/>
      </rPr>
      <t>Reviewed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</si>
  <si>
    <r>
      <rPr>
        <sz val="11"/>
        <color theme="1"/>
        <rFont val="Century Schoolbook"/>
      </rPr>
      <t>Approved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</si>
  <si>
    <r>
      <rPr>
        <b/>
        <sz val="11"/>
        <color rgb="FF00AF50"/>
        <rFont val="Century Schoolbook"/>
      </rPr>
      <t>Course</t>
    </r>
    <r>
      <rPr>
        <sz val="11"/>
        <color rgb="FF00AF50"/>
        <rFont val="Times New Roman"/>
      </rPr>
      <t xml:space="preserve"> </t>
    </r>
    <r>
      <rPr>
        <b/>
        <sz val="11"/>
        <color rgb="FF00AF50"/>
        <rFont val="Century Schoolbook"/>
      </rPr>
      <t>Instructor</t>
    </r>
  </si>
  <si>
    <r>
      <rPr>
        <sz val="11"/>
        <color theme="1"/>
        <rFont val="Century Schoolbook"/>
      </rPr>
      <t>Remarks by Reviewer:</t>
    </r>
  </si>
  <si>
    <r>
      <rPr>
        <b/>
        <sz val="11"/>
        <color rgb="FF00AF50"/>
        <rFont val="Century Schoolbook"/>
      </rPr>
      <t>Reviewer</t>
    </r>
  </si>
  <si>
    <r>
      <rPr>
        <b/>
        <sz val="11"/>
        <color rgb="FF00AF50"/>
        <rFont val="Century Schoolbook"/>
      </rPr>
      <t>HOD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</si>
  <si>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Instructor/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Question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Paper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Setter</t>
    </r>
  </si>
  <si>
    <r>
      <rPr>
        <sz val="11"/>
        <color theme="1"/>
        <rFont val="Century Schoolbook"/>
      </rPr>
      <t>Reviewed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</si>
  <si>
    <r>
      <rPr>
        <sz val="11"/>
        <color theme="1"/>
        <rFont val="Century Schoolbook"/>
      </rPr>
      <t>Approved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</si>
  <si>
    <r>
      <rPr>
        <b/>
        <sz val="18"/>
        <color theme="1"/>
        <rFont val="Century Schoolbook"/>
      </rPr>
      <t xml:space="preserve">PES Institute of Technology &amp;Management                                        </t>
    </r>
    <r>
      <rPr>
        <b/>
        <sz val="14"/>
        <color theme="1"/>
        <rFont val="Century Schoolbook"/>
      </rPr>
      <t xml:space="preserve">                                       </t>
    </r>
    <r>
      <rPr>
        <b/>
        <sz val="11"/>
        <color theme="1"/>
        <rFont val="Century Schoolbook"/>
      </rPr>
      <t>Affiliated to VTU, Belagavi | Approved by AICTE, New Delhi | Recognized by Go. K. | Accredited by NAAC with ‘A’ Grade</t>
    </r>
  </si>
  <si>
    <r>
      <rPr>
        <b/>
        <sz val="11"/>
        <color theme="1"/>
        <rFont val="Century Schoolbook"/>
      </rPr>
      <t>Scheme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of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Evaluation</t>
    </r>
  </si>
  <si>
    <r>
      <rPr>
        <b/>
        <i/>
        <sz val="11"/>
        <color theme="1"/>
        <rFont val="Century Schoolbook"/>
      </rPr>
      <t>First</t>
    </r>
    <r>
      <rPr>
        <sz val="11"/>
        <color theme="1"/>
        <rFont val="Times New Roman"/>
      </rPr>
      <t xml:space="preserve"> </t>
    </r>
    <r>
      <rPr>
        <b/>
        <i/>
        <sz val="11"/>
        <color theme="1"/>
        <rFont val="Century Schoolbook"/>
      </rPr>
      <t>Internal</t>
    </r>
    <r>
      <rPr>
        <sz val="11"/>
        <color theme="1"/>
        <rFont val="Times New Roman"/>
      </rPr>
      <t xml:space="preserve"> </t>
    </r>
    <r>
      <rPr>
        <b/>
        <i/>
        <sz val="11"/>
        <color theme="1"/>
        <rFont val="Century Schoolbook"/>
      </rPr>
      <t>Assessment</t>
    </r>
  </si>
  <si>
    <r>
      <rPr>
        <sz val="11"/>
        <color theme="1"/>
        <rFont val="Century Schoolbook"/>
      </rPr>
      <t>Program</t>
    </r>
  </si>
  <si>
    <r>
      <rPr>
        <sz val="11"/>
        <color theme="1"/>
        <rFont val="Century Schoolbook"/>
      </rPr>
      <t>UG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Program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</t>
    </r>
  </si>
  <si>
    <r>
      <rPr>
        <sz val="11"/>
        <color theme="1"/>
        <rFont val="Century Schoolbook"/>
      </rPr>
      <t>Academic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Year</t>
    </r>
  </si>
  <si>
    <r>
      <rPr>
        <sz val="11"/>
        <color theme="1"/>
        <rFont val="Century Schoolbook"/>
      </rPr>
      <t>Semester</t>
    </r>
  </si>
  <si>
    <r>
      <rPr>
        <sz val="11"/>
        <color theme="1"/>
        <rFont val="Century Schoolbook"/>
      </rPr>
      <t>Course</t>
    </r>
  </si>
  <si>
    <r>
      <rPr>
        <sz val="11"/>
        <color theme="1"/>
        <rFont val="Century Schoolbook"/>
      </rPr>
      <t>University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Code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</si>
  <si>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Code</t>
    </r>
  </si>
  <si>
    <r>
      <rPr>
        <sz val="11"/>
        <color theme="1"/>
        <rFont val="Century Schoolbook"/>
      </rPr>
      <t>Date</t>
    </r>
  </si>
  <si>
    <r>
      <rPr>
        <sz val="11"/>
        <color theme="1"/>
        <rFont val="Century Schoolbook"/>
      </rPr>
      <t>Time</t>
    </r>
  </si>
  <si>
    <r>
      <rPr>
        <sz val="11"/>
        <color theme="1"/>
        <rFont val="Century Schoolbook"/>
      </rPr>
      <t>Course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Instructor</t>
    </r>
  </si>
  <si>
    <r>
      <rPr>
        <sz val="11"/>
        <color theme="1"/>
        <rFont val="Century Schoolbook"/>
      </rPr>
      <t>Maximum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Marks</t>
    </r>
  </si>
  <si>
    <r>
      <rPr>
        <b/>
        <sz val="9"/>
        <color theme="1"/>
        <rFont val="Century Schoolbook"/>
      </rPr>
      <t>Q.</t>
    </r>
    <r>
      <rPr>
        <sz val="9"/>
        <color theme="1"/>
        <rFont val="Times New Roman"/>
      </rPr>
      <t xml:space="preserve"> </t>
    </r>
    <r>
      <rPr>
        <b/>
        <sz val="9"/>
        <color theme="1"/>
        <rFont val="Century Schoolbook"/>
      </rPr>
      <t>No.</t>
    </r>
  </si>
  <si>
    <r>
      <rPr>
        <b/>
        <sz val="11"/>
        <color theme="1"/>
        <rFont val="Century Schoolbook"/>
      </rPr>
      <t>Solution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/</t>
    </r>
    <r>
      <rPr>
        <sz val="11"/>
        <color theme="1"/>
        <rFont val="Times New Roman"/>
      </rPr>
      <t xml:space="preserve"> </t>
    </r>
    <r>
      <rPr>
        <b/>
        <sz val="11"/>
        <color theme="1"/>
        <rFont val="Century Schoolbook"/>
      </rPr>
      <t>Answer</t>
    </r>
  </si>
  <si>
    <r>
      <rPr>
        <b/>
        <sz val="11"/>
        <color theme="1"/>
        <rFont val="Century Schoolbook"/>
      </rPr>
      <t>Marks</t>
    </r>
  </si>
  <si>
    <r>
      <rPr>
        <sz val="11"/>
        <color theme="1"/>
        <rFont val="Century Schoolbook"/>
      </rPr>
      <t>Remarks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by</t>
    </r>
    <r>
      <rPr>
        <sz val="11"/>
        <color theme="1"/>
        <rFont val="Times New Roman"/>
      </rPr>
      <t xml:space="preserve"> </t>
    </r>
    <r>
      <rPr>
        <sz val="11"/>
        <color theme="1"/>
        <rFont val="Century Schoolbook"/>
      </rPr>
      <t>Reviewer</t>
    </r>
  </si>
  <si>
    <r>
      <rPr>
        <b/>
        <sz val="11"/>
        <color rgb="FF00AF50"/>
        <rFont val="Century Schoolbook"/>
      </rPr>
      <t>Course</t>
    </r>
    <r>
      <rPr>
        <sz val="11"/>
        <color rgb="FF00AF50"/>
        <rFont val="Times New Roman"/>
      </rPr>
      <t xml:space="preserve"> </t>
    </r>
    <r>
      <rPr>
        <b/>
        <sz val="11"/>
        <color rgb="FF00AF50"/>
        <rFont val="Century Schoolbook"/>
      </rPr>
      <t>Instructor</t>
    </r>
  </si>
  <si>
    <r>
      <rPr>
        <b/>
        <sz val="11"/>
        <color rgb="FF00AF50"/>
        <rFont val="Century Schoolbook"/>
      </rPr>
      <t>Reviewer</t>
    </r>
  </si>
  <si>
    <r>
      <rPr>
        <b/>
        <sz val="11"/>
        <color rgb="FF00AF50"/>
        <rFont val="Century Schoolbook"/>
      </rPr>
      <t>HOD</t>
    </r>
  </si>
  <si>
    <t>Thara K L</t>
  </si>
  <si>
    <t>A</t>
  </si>
  <si>
    <t>DEPARTMENT OF INFORMATION SCIENCE AND ENGINEERING</t>
  </si>
  <si>
    <t>1BCSL307A</t>
  </si>
  <si>
    <t>Project Management (with Git)</t>
  </si>
  <si>
    <t xml:space="preserve">Teaching Hours per Week (L:T:P:S): 0:0:28:2:30        Commencement of Semester:               Last Working Day: </t>
  </si>
  <si>
    <r>
      <rPr>
        <b/>
        <sz val="10.5"/>
        <color theme="1"/>
        <rFont val="Century Schoolbook"/>
        <family val="1"/>
      </rPr>
      <t>Collaboration and Remote Repositories:</t>
    </r>
    <r>
      <rPr>
        <sz val="10.5"/>
        <color theme="1"/>
        <rFont val="Century Schoolbook"/>
        <family val="1"/>
      </rPr>
      <t xml:space="preserve"> Write the command to merge "feature-branch" into "master" while providing a custom commit message for the merge. </t>
    </r>
  </si>
  <si>
    <r>
      <rPr>
        <b/>
        <sz val="10.5"/>
        <color theme="1"/>
        <rFont val="Century Schoolbook"/>
        <family val="1"/>
      </rPr>
      <t>Git Tags and Releases:</t>
    </r>
    <r>
      <rPr>
        <sz val="10.5"/>
        <color theme="1"/>
        <rFont val="Century Schoolbook"/>
        <family val="1"/>
      </rPr>
      <t xml:space="preserve"> Write the command to create a lightweight Git tag named "v1.0" for a commit in your local repository. </t>
    </r>
  </si>
  <si>
    <r>
      <rPr>
        <b/>
        <sz val="10.5"/>
        <color theme="1"/>
        <rFont val="Century Schoolbook"/>
        <family val="1"/>
      </rPr>
      <t>Advanced Git Operations:</t>
    </r>
    <r>
      <rPr>
        <sz val="10.5"/>
        <color theme="1"/>
        <rFont val="Century Schoolbook"/>
        <family val="1"/>
      </rPr>
      <t xml:space="preserve">
Write the command to cherry-pick a range of commits from "source-branch" to the current branch. </t>
    </r>
  </si>
  <si>
    <r>
      <rPr>
        <b/>
        <sz val="10.5"/>
        <color theme="1"/>
        <rFont val="Century Schoolbook"/>
        <family val="1"/>
      </rPr>
      <t xml:space="preserve">Analysing and Changing Git History: </t>
    </r>
    <r>
      <rPr>
        <sz val="10.5"/>
        <color theme="1"/>
        <rFont val="Century Schoolbook"/>
        <family val="1"/>
      </rPr>
      <t>Given a commit ID, how would you use Git to view the details of that specific commit, including the author, date, and commit message?</t>
    </r>
  </si>
  <si>
    <r>
      <rPr>
        <b/>
        <sz val="10.5"/>
        <color theme="1"/>
        <rFont val="Century Schoolbook"/>
        <family val="1"/>
      </rPr>
      <t xml:space="preserve">Analysing and Changing Git History: </t>
    </r>
    <r>
      <rPr>
        <sz val="10.5"/>
        <color theme="1"/>
        <rFont val="Century Schoolbook"/>
        <family val="1"/>
      </rPr>
      <t xml:space="preserve">Write the command to display the last five commits in the repository's history. </t>
    </r>
  </si>
  <si>
    <r>
      <rPr>
        <b/>
        <sz val="10.5"/>
        <color theme="1"/>
        <rFont val="Century Schoolbook"/>
        <family val="1"/>
      </rPr>
      <t>Analysing and Changing Git History:</t>
    </r>
    <r>
      <rPr>
        <sz val="10.5"/>
        <color theme="1"/>
        <rFont val="Century Schoolbook"/>
        <family val="1"/>
      </rPr>
      <t xml:space="preserve"> Write the command to undo the changes introduced by the commit with the ID "abc123"</t>
    </r>
  </si>
  <si>
    <r>
      <t xml:space="preserve">Analysing and Changing Git History: </t>
    </r>
    <r>
      <rPr>
        <sz val="10.5"/>
        <color theme="1"/>
        <rFont val="Century Schoolbook"/>
        <family val="1"/>
      </rPr>
      <t>Write the Git command to display all commits made by the author "JohnDoe" between "January 1, 2025" AND "December 31, 2025".</t>
    </r>
  </si>
  <si>
    <r>
      <rPr>
        <b/>
        <sz val="10.5"/>
        <color theme="1"/>
        <rFont val="Century Schoolbook"/>
        <family val="1"/>
      </rPr>
      <t xml:space="preserve">Setting Up and Basic Commands: </t>
    </r>
    <r>
      <rPr>
        <sz val="10.5"/>
        <color theme="1"/>
        <rFont val="Century Schoolbook"/>
        <family val="1"/>
      </rPr>
      <t>Initialize a new Git repository in a directory. Create a new file and add it to the staging area, and commit the changes with an appropriate commit message.</t>
    </r>
  </si>
  <si>
    <r>
      <rPr>
        <b/>
        <sz val="10.5"/>
        <color theme="1"/>
        <rFont val="Century Schoolbook"/>
        <family val="1"/>
      </rPr>
      <t xml:space="preserve">Creating and Managing Branches: </t>
    </r>
    <r>
      <rPr>
        <sz val="10.5"/>
        <color theme="1"/>
        <rFont val="Century Schoolbook"/>
        <family val="1"/>
      </rPr>
      <t>Create a new branch named "feature-branch." Switch to the "master" branch. Merge the "featurebranch" into "master."</t>
    </r>
  </si>
  <si>
    <r>
      <rPr>
        <b/>
        <sz val="10.5"/>
        <color theme="1"/>
        <rFont val="Century Schoolbook"/>
        <family val="1"/>
      </rPr>
      <t xml:space="preserve">Creating and Managing Branches: </t>
    </r>
    <r>
      <rPr>
        <sz val="10.5"/>
        <color theme="1"/>
        <rFont val="Century Schoolbook"/>
        <family val="1"/>
      </rPr>
      <t>Write the commands to stash your changes, switch branches, and then apply the stashed changes</t>
    </r>
  </si>
  <si>
    <r>
      <rPr>
        <b/>
        <sz val="10.5"/>
        <color theme="1"/>
        <rFont val="Century Schoolbook"/>
        <family val="1"/>
      </rPr>
      <t>Collaboration and Remote Repositories:</t>
    </r>
    <r>
      <rPr>
        <sz val="10.5"/>
        <color theme="1"/>
        <rFont val="Century Schoolbook"/>
        <family val="1"/>
      </rPr>
      <t xml:space="preserve"> Clone a remote Git repository to your local machine. </t>
    </r>
  </si>
  <si>
    <r>
      <rPr>
        <b/>
        <sz val="10.5"/>
        <color theme="1"/>
        <rFont val="Century Schoolbook"/>
        <family val="1"/>
      </rPr>
      <t>Collaboration and Remote Repositories:</t>
    </r>
    <r>
      <rPr>
        <sz val="10.5"/>
        <color theme="1"/>
        <rFont val="Century Schoolbook"/>
        <family val="1"/>
      </rPr>
      <t xml:space="preserve"> Fetch the latest changes from a remote repository and rebase your local branch onto the updated remote branch. </t>
    </r>
  </si>
  <si>
    <t xml:space="preserve">Demonstrate the use of basic Git repository commands for version control operations. </t>
  </si>
  <si>
    <t xml:space="preserve"> Implement branch management strategies for collaborative software development</t>
  </si>
  <si>
    <t>Apply collaboration techniques using remote repositories and distributed version control systems.</t>
  </si>
  <si>
    <t xml:space="preserve"> Configure Git tags, releases, and advanced Git operations for effective project management.</t>
  </si>
  <si>
    <t xml:space="preserve"> Modify Git history to maintain repository integrity and support project requirements.</t>
  </si>
  <si>
    <t>Analyses basic version-control requirements and selects suitable Git commands.</t>
  </si>
  <si>
    <t>Use Git commands to create repositories, stage files, and commit changes.</t>
  </si>
  <si>
    <t>Analyse branch changes and select suitable branching and merging operations.</t>
  </si>
  <si>
    <t>Implement Git branching, switching, merging, and stashing operations.</t>
  </si>
  <si>
    <t>Apply branching and merging practices for collaborative software development.</t>
  </si>
  <si>
    <t>Students will be able to apply Git commands to clone, fetch, rebase, and merge remote repositories.</t>
  </si>
  <si>
    <t>Apply remote repository practices for collaborative software development.</t>
  </si>
  <si>
    <t>Analyse version-management requirements and select suitable Git operations.</t>
  </si>
  <si>
    <t>Apply tags, releases, and cherry-pick operations using Git.</t>
  </si>
  <si>
    <t>Analyse Git history and select suitable operations to manage changes.</t>
  </si>
  <si>
    <t>To modify and manage Git history using appropriate Git commands.</t>
  </si>
  <si>
    <t>GIT LAB</t>
  </si>
  <si>
    <t>Apply the basic Git commands to implement version-control operations in software projects.</t>
  </si>
  <si>
    <t>Applies version-control practices to maintain software project files systematically.</t>
  </si>
  <si>
    <t>Implements branching and merging operations to manage software development tasks.</t>
  </si>
  <si>
    <t>Applies branching and merging practices for organized software development.</t>
  </si>
  <si>
    <t>Implements remote repository operations to support distributed software development.</t>
  </si>
  <si>
    <t>Applies collaborative version-control practices for software development.</t>
  </si>
  <si>
    <t>Applies advanced Git operations to manage different versions of software projects.</t>
  </si>
  <si>
    <t>Applies tagging, release, and change-management practices to support quality software development.</t>
  </si>
  <si>
    <t>Analyses and modifies Git history to manage software changes effectively.</t>
  </si>
  <si>
    <t>Applies version-history management practices to maintain software project integrity.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</si>
</sst>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Schoolbook"/>
    </font>
    <font>
      <sz val="11"/>
      <color theme="1"/>
      <name val="Calibri"/>
    </font>
    <font>
      <sz val="11"/>
      <color theme="1"/>
      <name val="Century Schoolbook"/>
    </font>
    <font>
      <sz val="12"/>
      <color theme="1"/>
      <name val="Century Schoolbook"/>
    </font>
    <font>
      <b/>
      <sz val="13"/>
      <color rgb="FF002060"/>
      <name val="Century Schoolbook"/>
    </font>
    <font>
      <sz val="16"/>
      <color theme="1"/>
      <name val="Century Schoolbook"/>
    </font>
    <font>
      <sz val="11"/>
      <name val="Calibri"/>
    </font>
    <font>
      <b/>
      <sz val="12"/>
      <color theme="1"/>
      <name val="Century Schoolbook"/>
    </font>
    <font>
      <b/>
      <sz val="10"/>
      <color theme="1"/>
      <name val="Century Schoolbook"/>
    </font>
    <font>
      <b/>
      <sz val="11"/>
      <color theme="1"/>
      <name val="Century Schoolbook"/>
    </font>
    <font>
      <i/>
      <sz val="11"/>
      <color theme="1"/>
      <name val="Century Schoolbook"/>
    </font>
    <font>
      <b/>
      <i/>
      <sz val="10"/>
      <color theme="1"/>
      <name val="Century Schoolbook"/>
    </font>
    <font>
      <sz val="9"/>
      <color theme="1"/>
      <name val="Century Schoolbook"/>
    </font>
    <font>
      <sz val="12"/>
      <color theme="1"/>
      <name val="Cambria"/>
    </font>
    <font>
      <sz val="11"/>
      <color rgb="FF000000"/>
      <name val="Times New Roman"/>
    </font>
    <font>
      <sz val="10"/>
      <color theme="1"/>
      <name val="Cambria"/>
    </font>
    <font>
      <sz val="8"/>
      <color theme="1"/>
      <name val="Century Schoolbook"/>
    </font>
    <font>
      <sz val="13"/>
      <color theme="1"/>
      <name val="Century Schoolbook"/>
    </font>
    <font>
      <sz val="11"/>
      <color rgb="FF000000"/>
      <name val="Century Schoolbook"/>
    </font>
    <font>
      <sz val="12"/>
      <color rgb="FF000000"/>
      <name val="Cambria"/>
    </font>
    <font>
      <b/>
      <sz val="13"/>
      <color rgb="FF0070C0"/>
      <name val="Century Schoolbook"/>
    </font>
    <font>
      <sz val="11"/>
      <color theme="1"/>
      <name val="Arial"/>
    </font>
    <font>
      <b/>
      <sz val="9"/>
      <color theme="1"/>
      <name val="Century Schoolbook"/>
    </font>
    <font>
      <b/>
      <sz val="14"/>
      <color rgb="FF0070C0"/>
      <name val="Century Schoolbook"/>
    </font>
    <font>
      <sz val="10"/>
      <color rgb="FF000000"/>
      <name val="Arial"/>
    </font>
    <font>
      <b/>
      <sz val="8"/>
      <color theme="1"/>
      <name val="Century Schoolbook"/>
    </font>
    <font>
      <b/>
      <i/>
      <sz val="9"/>
      <color theme="1"/>
      <name val="Cambria"/>
    </font>
    <font>
      <b/>
      <sz val="12"/>
      <color rgb="FF0070C0"/>
      <name val="Century Schoolbook"/>
    </font>
    <font>
      <b/>
      <i/>
      <sz val="11"/>
      <color theme="1"/>
      <name val="Century Schoolbook"/>
    </font>
    <font>
      <b/>
      <sz val="12"/>
      <color rgb="FF974806"/>
      <name val="Century Schoolbook"/>
    </font>
    <font>
      <b/>
      <sz val="14"/>
      <color rgb="FF974806"/>
      <name val="Century Schoolbook"/>
    </font>
    <font>
      <b/>
      <sz val="14"/>
      <color rgb="FF31859B"/>
      <name val="Century Schoolbook"/>
    </font>
    <font>
      <b/>
      <sz val="18"/>
      <color theme="1"/>
      <name val="Century Schoolbook"/>
    </font>
    <font>
      <sz val="11"/>
      <color theme="1"/>
      <name val="Times New Roman"/>
    </font>
    <font>
      <b/>
      <sz val="17"/>
      <color theme="1"/>
      <name val="Century Schoolbook"/>
    </font>
    <font>
      <b/>
      <sz val="8"/>
      <color theme="1"/>
      <name val="Cambria"/>
    </font>
    <font>
      <sz val="11"/>
      <color theme="1"/>
      <name val="Cambria"/>
    </font>
    <font>
      <b/>
      <sz val="11"/>
      <color theme="1"/>
      <name val="Cambria"/>
    </font>
    <font>
      <b/>
      <vertAlign val="superscript"/>
      <sz val="10"/>
      <color theme="1"/>
      <name val="Century Schoolbook"/>
    </font>
    <font>
      <b/>
      <sz val="14"/>
      <color theme="1"/>
      <name val="Century Schoolbook"/>
    </font>
    <font>
      <sz val="10"/>
      <color theme="1"/>
      <name val="Times New Roman"/>
    </font>
    <font>
      <b/>
      <i/>
      <sz val="13"/>
      <color theme="1"/>
      <name val="Century Schoolbook"/>
    </font>
    <font>
      <sz val="13"/>
      <color theme="1"/>
      <name val="Times New Roman"/>
    </font>
    <font>
      <sz val="9"/>
      <color theme="1"/>
      <name val="Times New Roman"/>
    </font>
    <font>
      <b/>
      <sz val="11"/>
      <color rgb="FF00AF50"/>
      <name val="Century Schoolbook"/>
    </font>
    <font>
      <sz val="11"/>
      <color rgb="FF00AF50"/>
      <name val="Times New Roman"/>
    </font>
    <font>
      <sz val="10.5"/>
      <color theme="1"/>
      <name val="Century Schoolbook"/>
      <family val="1"/>
    </font>
    <font>
      <b/>
      <sz val="11"/>
      <color theme="1"/>
      <name val="Century Schoolbook"/>
      <family val="1"/>
    </font>
    <font>
      <b/>
      <sz val="10.5"/>
      <color theme="1"/>
      <name val="Century Schoolbook"/>
      <family val="1"/>
    </font>
  </fonts>
  <fills count="13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2F2F2"/>
        <bgColor rgb="FFF2F2F2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0" fillId="3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2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3" fillId="0" borderId="0" xfId="0" applyFont="1"/>
    <xf numFmtId="0" fontId="15" fillId="0" borderId="13" xfId="0" applyFont="1" applyBorder="1"/>
    <xf numFmtId="0" fontId="15" fillId="0" borderId="4" xfId="0" applyFont="1" applyBorder="1"/>
    <xf numFmtId="0" fontId="2" fillId="0" borderId="13" xfId="0" applyFont="1" applyBorder="1" applyAlignment="1">
      <alignment vertical="center"/>
    </xf>
    <xf numFmtId="0" fontId="20" fillId="0" borderId="13" xfId="0" applyFont="1" applyBorder="1" applyAlignment="1">
      <alignment horizontal="right"/>
    </xf>
    <xf numFmtId="0" fontId="21" fillId="0" borderId="4" xfId="0" applyFont="1" applyBorder="1"/>
    <xf numFmtId="0" fontId="15" fillId="0" borderId="13" xfId="0" applyFont="1" applyBorder="1" applyAlignment="1">
      <alignment horizontal="center"/>
    </xf>
    <xf numFmtId="0" fontId="11" fillId="3" borderId="13" xfId="0" applyFont="1" applyFill="1" applyBorder="1" applyAlignment="1">
      <alignment horizontal="center" vertical="center"/>
    </xf>
    <xf numFmtId="0" fontId="23" fillId="0" borderId="0" xfId="0" applyFont="1"/>
    <xf numFmtId="0" fontId="11" fillId="0" borderId="2" xfId="0" applyFont="1" applyBorder="1"/>
    <xf numFmtId="0" fontId="11" fillId="0" borderId="13" xfId="0" applyFont="1" applyBorder="1" applyAlignment="1">
      <alignment horizontal="left"/>
    </xf>
    <xf numFmtId="0" fontId="11" fillId="0" borderId="13" xfId="0" applyFont="1" applyBorder="1" applyAlignment="1">
      <alignment horizontal="right"/>
    </xf>
    <xf numFmtId="0" fontId="11" fillId="0" borderId="13" xfId="0" applyFont="1" applyBorder="1"/>
    <xf numFmtId="0" fontId="3" fillId="0" borderId="13" xfId="0" applyFont="1" applyBorder="1" applyAlignment="1">
      <alignment horizontal="center"/>
    </xf>
    <xf numFmtId="0" fontId="23" fillId="0" borderId="1" xfId="0" applyFont="1" applyBorder="1"/>
    <xf numFmtId="0" fontId="11" fillId="0" borderId="1" xfId="0" applyFont="1" applyBorder="1" applyAlignment="1">
      <alignment horizontal="center"/>
    </xf>
    <xf numFmtId="0" fontId="24" fillId="0" borderId="13" xfId="0" applyFont="1" applyBorder="1"/>
    <xf numFmtId="0" fontId="14" fillId="0" borderId="13" xfId="0" applyFont="1" applyBorder="1" applyAlignment="1">
      <alignment horizontal="center"/>
    </xf>
    <xf numFmtId="0" fontId="23" fillId="0" borderId="13" xfId="0" applyFont="1" applyBorder="1"/>
    <xf numFmtId="0" fontId="4" fillId="7" borderId="13" xfId="0" applyFont="1" applyFill="1" applyBorder="1" applyAlignment="1">
      <alignment horizontal="center"/>
    </xf>
    <xf numFmtId="0" fontId="2" fillId="2" borderId="1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10" fillId="9" borderId="13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vertical="center"/>
    </xf>
    <xf numFmtId="2" fontId="26" fillId="0" borderId="13" xfId="0" applyNumberFormat="1" applyFont="1" applyBorder="1" applyAlignment="1">
      <alignment horizontal="center"/>
    </xf>
    <xf numFmtId="0" fontId="27" fillId="9" borderId="13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2" fillId="0" borderId="0" xfId="0" applyFont="1"/>
    <xf numFmtId="0" fontId="11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1" fillId="3" borderId="25" xfId="0" applyFont="1" applyFill="1" applyBorder="1" applyAlignment="1">
      <alignment horizontal="center" vertical="center" wrapText="1"/>
    </xf>
    <xf numFmtId="0" fontId="3" fillId="12" borderId="25" xfId="0" applyFont="1" applyFill="1" applyBorder="1" applyAlignment="1">
      <alignment vertical="center"/>
    </xf>
    <xf numFmtId="0" fontId="3" fillId="12" borderId="13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wrapText="1"/>
    </xf>
    <xf numFmtId="20" fontId="11" fillId="8" borderId="13" xfId="0" applyNumberFormat="1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3" xfId="0" applyFont="1" applyBorder="1" applyAlignment="1"/>
    <xf numFmtId="0" fontId="24" fillId="8" borderId="13" xfId="0" applyFont="1" applyFill="1" applyBorder="1" applyAlignment="1">
      <alignment horizontal="center" wrapText="1"/>
    </xf>
    <xf numFmtId="0" fontId="27" fillId="8" borderId="13" xfId="0" applyFont="1" applyFill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4" fontId="3" fillId="0" borderId="13" xfId="0" applyNumberFormat="1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4" fontId="3" fillId="0" borderId="4" xfId="0" applyNumberFormat="1" applyFont="1" applyBorder="1"/>
    <xf numFmtId="0" fontId="11" fillId="0" borderId="13" xfId="0" applyFont="1" applyBorder="1" applyAlignment="1">
      <alignment horizontal="left" vertical="center"/>
    </xf>
    <xf numFmtId="14" fontId="3" fillId="0" borderId="0" xfId="0" applyNumberFormat="1" applyFont="1"/>
    <xf numFmtId="14" fontId="3" fillId="0" borderId="13" xfId="0" applyNumberFormat="1" applyFont="1" applyBorder="1"/>
    <xf numFmtId="0" fontId="11" fillId="0" borderId="7" xfId="0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5" fillId="0" borderId="0" xfId="0" applyFont="1" applyAlignment="1">
      <alignment vertical="top"/>
    </xf>
    <xf numFmtId="0" fontId="3" fillId="0" borderId="0" xfId="0" quotePrefix="1" applyFont="1"/>
    <xf numFmtId="0" fontId="35" fillId="3" borderId="29" xfId="0" applyFont="1" applyFill="1" applyBorder="1" applyAlignment="1">
      <alignment vertical="top" wrapText="1"/>
    </xf>
    <xf numFmtId="1" fontId="4" fillId="0" borderId="7" xfId="0" applyNumberFormat="1" applyFont="1" applyBorder="1" applyAlignment="1">
      <alignment vertical="top"/>
    </xf>
    <xf numFmtId="0" fontId="4" fillId="0" borderId="13" xfId="0" applyFont="1" applyBorder="1" applyAlignment="1">
      <alignment vertical="center" wrapText="1"/>
    </xf>
    <xf numFmtId="0" fontId="11" fillId="3" borderId="13" xfId="0" applyFont="1" applyFill="1" applyBorder="1" applyAlignment="1">
      <alignment vertical="center" wrapText="1"/>
    </xf>
    <xf numFmtId="0" fontId="35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5" fillId="0" borderId="13" xfId="0" applyFont="1" applyBorder="1" applyAlignment="1">
      <alignment vertical="center"/>
    </xf>
    <xf numFmtId="0" fontId="35" fillId="3" borderId="13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top"/>
    </xf>
    <xf numFmtId="0" fontId="27" fillId="3" borderId="13" xfId="0" applyFont="1" applyFill="1" applyBorder="1" applyAlignment="1">
      <alignment vertical="center" wrapText="1"/>
    </xf>
    <xf numFmtId="1" fontId="4" fillId="0" borderId="13" xfId="0" applyNumberFormat="1" applyFont="1" applyBorder="1" applyAlignment="1">
      <alignment horizontal="center" vertical="center"/>
    </xf>
    <xf numFmtId="0" fontId="35" fillId="0" borderId="13" xfId="0" applyFont="1" applyBorder="1"/>
    <xf numFmtId="0" fontId="35" fillId="0" borderId="11" xfId="0" applyFont="1" applyBorder="1" applyAlignment="1">
      <alignment horizontal="center" vertical="top"/>
    </xf>
    <xf numFmtId="0" fontId="35" fillId="0" borderId="20" xfId="0" applyFont="1" applyBorder="1" applyAlignment="1">
      <alignment vertical="top"/>
    </xf>
    <xf numFmtId="0" fontId="35" fillId="0" borderId="14" xfId="0" applyFont="1" applyBorder="1" applyAlignment="1">
      <alignment vertical="top"/>
    </xf>
    <xf numFmtId="0" fontId="37" fillId="3" borderId="13" xfId="0" applyFont="1" applyFill="1" applyBorder="1" applyAlignment="1">
      <alignment vertical="top" wrapText="1"/>
    </xf>
    <xf numFmtId="0" fontId="38" fillId="0" borderId="13" xfId="0" applyFont="1" applyBorder="1" applyAlignment="1">
      <alignment horizontal="center" vertical="top" wrapText="1"/>
    </xf>
    <xf numFmtId="0" fontId="27" fillId="3" borderId="13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 vertical="top" wrapText="1"/>
    </xf>
    <xf numFmtId="0" fontId="35" fillId="0" borderId="11" xfId="0" applyFont="1" applyBorder="1" applyAlignment="1">
      <alignment vertical="top"/>
    </xf>
    <xf numFmtId="0" fontId="35" fillId="0" borderId="16" xfId="0" applyFont="1" applyBorder="1" applyAlignment="1">
      <alignment vertical="top"/>
    </xf>
    <xf numFmtId="0" fontId="35" fillId="0" borderId="6" xfId="0" applyFont="1" applyBorder="1" applyAlignment="1">
      <alignment vertical="top"/>
    </xf>
    <xf numFmtId="0" fontId="4" fillId="3" borderId="13" xfId="0" applyFont="1" applyFill="1" applyBorder="1" applyAlignment="1">
      <alignment vertical="center" wrapText="1"/>
    </xf>
    <xf numFmtId="0" fontId="11" fillId="0" borderId="13" xfId="0" applyFont="1" applyBorder="1" applyAlignment="1">
      <alignment wrapText="1"/>
    </xf>
    <xf numFmtId="0" fontId="4" fillId="0" borderId="18" xfId="0" applyFont="1" applyBorder="1" applyAlignment="1">
      <alignment horizontal="center" vertical="center"/>
    </xf>
    <xf numFmtId="14" fontId="3" fillId="0" borderId="21" xfId="0" applyNumberFormat="1" applyFont="1" applyBorder="1" applyAlignment="1">
      <alignment vertical="center"/>
    </xf>
    <xf numFmtId="0" fontId="11" fillId="0" borderId="25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/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4" xfId="0" applyFont="1" applyBorder="1"/>
    <xf numFmtId="0" fontId="4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11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6" xfId="0" applyFont="1" applyBorder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8" fillId="0" borderId="5" xfId="0" applyFont="1" applyBorder="1"/>
    <xf numFmtId="0" fontId="8" fillId="0" borderId="7" xfId="0" applyFont="1" applyBorder="1"/>
    <xf numFmtId="0" fontId="2" fillId="4" borderId="9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8" fillId="0" borderId="24" xfId="0" applyFont="1" applyBorder="1"/>
    <xf numFmtId="0" fontId="2" fillId="8" borderId="2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8" xfId="0" applyFont="1" applyBorder="1"/>
    <xf numFmtId="0" fontId="10" fillId="4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8" fillId="0" borderId="19" xfId="0" applyFont="1" applyBorder="1"/>
    <xf numFmtId="0" fontId="8" fillId="0" borderId="22" xfId="0" applyFont="1" applyBorder="1"/>
    <xf numFmtId="0" fontId="10" fillId="4" borderId="1" xfId="0" applyFont="1" applyFill="1" applyBorder="1" applyAlignment="1">
      <alignment horizontal="center" vertical="center" textRotation="90"/>
    </xf>
    <xf numFmtId="0" fontId="14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4" fillId="0" borderId="11" xfId="0" applyFont="1" applyBorder="1" applyAlignment="1">
      <alignment horizontal="left" vertical="top"/>
    </xf>
    <xf numFmtId="0" fontId="8" fillId="0" borderId="20" xfId="0" applyFont="1" applyBorder="1"/>
    <xf numFmtId="0" fontId="2" fillId="0" borderId="2" xfId="0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10" fillId="6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right"/>
    </xf>
    <xf numFmtId="0" fontId="28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3" fillId="0" borderId="2" xfId="0" applyFont="1" applyBorder="1"/>
    <xf numFmtId="0" fontId="11" fillId="0" borderId="2" xfId="0" applyFont="1" applyBorder="1"/>
    <xf numFmtId="0" fontId="22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3" fillId="0" borderId="2" xfId="0" applyFont="1" applyBorder="1"/>
    <xf numFmtId="0" fontId="23" fillId="0" borderId="2" xfId="0" applyFont="1" applyBorder="1" applyAlignment="1">
      <alignment horizontal="left" vertical="center"/>
    </xf>
    <xf numFmtId="0" fontId="25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4" fillId="0" borderId="30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29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1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3" fillId="12" borderId="2" xfId="0" applyFont="1" applyFill="1" applyBorder="1" applyAlignment="1">
      <alignment vertical="center"/>
    </xf>
    <xf numFmtId="0" fontId="3" fillId="0" borderId="0" xfId="0" applyFont="1"/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29" fillId="0" borderId="1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4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textRotation="90"/>
    </xf>
    <xf numFmtId="0" fontId="4" fillId="0" borderId="2" xfId="0" applyFont="1" applyBorder="1" applyAlignment="1">
      <alignment vertical="top"/>
    </xf>
    <xf numFmtId="0" fontId="4" fillId="0" borderId="2" xfId="0" applyFont="1" applyBorder="1"/>
    <xf numFmtId="0" fontId="4" fillId="0" borderId="11" xfId="0" applyFont="1" applyBorder="1" applyAlignment="1">
      <alignment horizontal="center" vertical="center" textRotation="90"/>
    </xf>
    <xf numFmtId="0" fontId="11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8" fillId="0" borderId="30" xfId="0" applyFont="1" applyBorder="1" applyAlignment="1">
      <alignment horizontal="left" vertical="top" wrapText="1"/>
    </xf>
    <xf numFmtId="0" fontId="4" fillId="0" borderId="2" xfId="0" applyFont="1" applyBorder="1" applyAlignment="1">
      <alignment vertical="center"/>
    </xf>
    <xf numFmtId="0" fontId="8" fillId="0" borderId="28" xfId="0" applyFont="1" applyBorder="1"/>
    <xf numFmtId="0" fontId="50" fillId="0" borderId="30" xfId="0" applyFont="1" applyBorder="1" applyAlignment="1">
      <alignment horizontal="left" vertical="top" wrapText="1"/>
    </xf>
    <xf numFmtId="0" fontId="48" fillId="0" borderId="31" xfId="0" applyFont="1" applyBorder="1" applyAlignment="1">
      <alignment horizontal="left" vertical="center" wrapText="1"/>
    </xf>
    <xf numFmtId="0" fontId="48" fillId="0" borderId="32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0" fillId="0" borderId="2" xfId="0" applyFont="1" applyBorder="1" applyAlignment="1">
      <alignment horizontal="right" vertical="center"/>
    </xf>
    <xf numFmtId="0" fontId="30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8" fillId="0" borderId="27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5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35" fillId="3" borderId="2" xfId="0" applyFont="1" applyFill="1" applyBorder="1" applyAlignment="1">
      <alignment vertical="center" wrapText="1"/>
    </xf>
    <xf numFmtId="0" fontId="35" fillId="0" borderId="2" xfId="0" applyFont="1" applyBorder="1"/>
    <xf numFmtId="0" fontId="3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top" wrapText="1"/>
    </xf>
    <xf numFmtId="0" fontId="36" fillId="3" borderId="26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vertical="top" wrapText="1"/>
    </xf>
    <xf numFmtId="0" fontId="35" fillId="0" borderId="16" xfId="0" applyFont="1" applyBorder="1"/>
    <xf numFmtId="0" fontId="35" fillId="0" borderId="16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top" wrapText="1"/>
    </xf>
    <xf numFmtId="0" fontId="35" fillId="3" borderId="2" xfId="0" applyFont="1" applyFill="1" applyBorder="1" applyAlignment="1">
      <alignment vertical="top" wrapText="1"/>
    </xf>
    <xf numFmtId="0" fontId="35" fillId="0" borderId="1" xfId="0" applyFont="1" applyBorder="1" applyAlignment="1">
      <alignment vertical="top"/>
    </xf>
    <xf numFmtId="0" fontId="35" fillId="3" borderId="2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3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35" fillId="0" borderId="2" xfId="0" applyFont="1" applyBorder="1" applyAlignment="1">
      <alignment vertical="top" wrapText="1"/>
    </xf>
    <xf numFmtId="0" fontId="35" fillId="0" borderId="2" xfId="0" applyFont="1" applyBorder="1" applyAlignment="1">
      <alignment wrapText="1"/>
    </xf>
    <xf numFmtId="1" fontId="38" fillId="0" borderId="1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vertical="top" wrapText="1"/>
    </xf>
    <xf numFmtId="0" fontId="39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 wrapText="1"/>
    </xf>
    <xf numFmtId="0" fontId="35" fillId="0" borderId="11" xfId="0" applyFont="1" applyBorder="1" applyAlignment="1">
      <alignment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Course Outcome Attainment</a:t>
            </a:r>
          </a:p>
        </c:rich>
      </c:tx>
      <c:layout>
        <c:manualLayout>
          <c:xMode val="edge"/>
          <c:yMode val="edge"/>
          <c:x val="0.27855795974676534"/>
          <c:y val="2.907580477673945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 Attainment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'Overall Attainment'!$A$10:$A$15</c:f>
              <c:strCache>
                <c:ptCount val="6"/>
                <c:pt idx="0">
                  <c:v>CO.1</c:v>
                </c:pt>
                <c:pt idx="1">
                  <c:v>CO.2</c:v>
                </c:pt>
                <c:pt idx="2">
                  <c:v>CO.3</c:v>
                </c:pt>
                <c:pt idx="3">
                  <c:v>CO.4</c:v>
                </c:pt>
                <c:pt idx="4">
                  <c:v>CO.5</c:v>
                </c:pt>
                <c:pt idx="5">
                  <c:v>CO.6</c:v>
                </c:pt>
              </c:strCache>
            </c:strRef>
          </c:cat>
          <c:val>
            <c:numRef>
              <c:f>'Overall Attainment'!$F$10:$F$15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288192"/>
        <c:axId val="141290112"/>
      </c:barChart>
      <c:catAx>
        <c:axId val="14128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90112"/>
        <c:crosses val="autoZero"/>
        <c:auto val="1"/>
        <c:lblAlgn val="ctr"/>
        <c:lblOffset val="100"/>
        <c:noMultiLvlLbl val="1"/>
      </c:catAx>
      <c:valAx>
        <c:axId val="141290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400" b="1" i="0">
                    <a:solidFill>
                      <a:srgbClr val="000000"/>
                    </a:solidFill>
                    <a:latin typeface="+mn-lt"/>
                  </a:rPr>
                  <a:t>Attainment in %</a:t>
                </a:r>
              </a:p>
            </c:rich>
          </c:tx>
          <c:layout>
            <c:manualLayout>
              <c:xMode val="edge"/>
              <c:yMode val="edge"/>
              <c:x val="6.9756518870412051E-2"/>
              <c:y val="0.237708277119565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881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Program Outcome Attainment</a:t>
            </a:r>
          </a:p>
        </c:rich>
      </c:tx>
      <c:layout>
        <c:manualLayout>
          <c:xMode val="edge"/>
          <c:yMode val="edge"/>
          <c:x val="0.34662190170779411"/>
          <c:y val="4.0133768325688303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'Overall Attainment'!$A$49:$A$60</c:f>
              <c:strCache>
                <c:ptCount val="12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</c:strCache>
            </c:strRef>
          </c:cat>
          <c:val>
            <c:numRef>
              <c:f>'Overall Attainment'!$B$49:$B$60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invertIfNegative val="1"/>
          <c:cat>
            <c:strRef>
              <c:f>'Overall Attainment'!$A$49:$A$60</c:f>
              <c:strCache>
                <c:ptCount val="12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</c:strCache>
            </c:strRef>
          </c:cat>
          <c:val>
            <c:numRef>
              <c:f>'Overall Attainment'!$D$49:$D$60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90592"/>
        <c:axId val="141796864"/>
      </c:barChart>
      <c:catAx>
        <c:axId val="14179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796864"/>
        <c:crosses val="autoZero"/>
        <c:auto val="1"/>
        <c:lblAlgn val="ctr"/>
        <c:lblOffset val="100"/>
        <c:noMultiLvlLbl val="1"/>
      </c:catAx>
      <c:valAx>
        <c:axId val="14179686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17905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sz="1400" b="1" i="0">
                <a:solidFill>
                  <a:srgbClr val="757575"/>
                </a:solidFill>
                <a:latin typeface="+mn-lt"/>
              </a:rPr>
              <a:t>Program Specific Outcome Attainment</a:t>
            </a:r>
          </a:p>
        </c:rich>
      </c:tx>
      <c:layout>
        <c:manualLayout>
          <c:xMode val="edge"/>
          <c:yMode val="edge"/>
          <c:x val="0.26318044619422581"/>
          <c:y val="2.777777777777795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'Overall Attainment'!$A$92:$A$94</c:f>
              <c:strCache>
                <c:ptCount val="3"/>
                <c:pt idx="0">
                  <c:v>PSO1</c:v>
                </c:pt>
                <c:pt idx="1">
                  <c:v>PSO2</c:v>
                </c:pt>
                <c:pt idx="2">
                  <c:v>PSO3</c:v>
                </c:pt>
              </c:strCache>
            </c:strRef>
          </c:cat>
          <c:val>
            <c:numRef>
              <c:f>'Overall Attainment'!$B$92:$B$94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invertIfNegative val="1"/>
          <c:cat>
            <c:strRef>
              <c:f>'Overall Attainment'!$A$92:$A$94</c:f>
              <c:strCache>
                <c:ptCount val="3"/>
                <c:pt idx="0">
                  <c:v>PSO1</c:v>
                </c:pt>
                <c:pt idx="1">
                  <c:v>PSO2</c:v>
                </c:pt>
                <c:pt idx="2">
                  <c:v>PSO3</c:v>
                </c:pt>
              </c:strCache>
            </c:strRef>
          </c:cat>
          <c:val>
            <c:numRef>
              <c:f>'Overall Attainment'!$D$92:$D$94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952896"/>
        <c:axId val="141963264"/>
      </c:barChart>
      <c:catAx>
        <c:axId val="14195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963264"/>
        <c:crosses val="autoZero"/>
        <c:auto val="1"/>
        <c:lblAlgn val="ctr"/>
        <c:lblOffset val="100"/>
        <c:noMultiLvlLbl val="1"/>
      </c:catAx>
      <c:valAx>
        <c:axId val="14196326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19528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0</xdr:rowOff>
    </xdr:from>
    <xdr:ext cx="733425" cy="666750"/>
    <xdr:pic>
      <xdr:nvPicPr>
        <xdr:cNvPr id="2" name="image2.png" descr="College 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95250</xdr:rowOff>
    </xdr:from>
    <xdr:ext cx="504825" cy="466725"/>
    <xdr:pic>
      <xdr:nvPicPr>
        <xdr:cNvPr id="2" name="image3.png" descr="College 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152400</xdr:rowOff>
    </xdr:from>
    <xdr:ext cx="419100" cy="457200"/>
    <xdr:pic>
      <xdr:nvPicPr>
        <xdr:cNvPr id="2" name="image1.png" descr="College 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133350</xdr:rowOff>
    </xdr:from>
    <xdr:ext cx="419100" cy="457200"/>
    <xdr:pic>
      <xdr:nvPicPr>
        <xdr:cNvPr id="2" name="image1.png" descr="College log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15</xdr:row>
      <xdr:rowOff>161925</xdr:rowOff>
    </xdr:from>
    <xdr:ext cx="5076825" cy="2905125"/>
    <xdr:graphicFrame macro="">
      <xdr:nvGraphicFramePr>
        <xdr:cNvPr id="18055822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209550</xdr:colOff>
      <xdr:row>61</xdr:row>
      <xdr:rowOff>9525</xdr:rowOff>
    </xdr:from>
    <xdr:ext cx="4981575" cy="2933700"/>
    <xdr:graphicFrame macro="">
      <xdr:nvGraphicFramePr>
        <xdr:cNvPr id="128074472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552450</xdr:colOff>
      <xdr:row>95</xdr:row>
      <xdr:rowOff>161925</xdr:rowOff>
    </xdr:from>
    <xdr:ext cx="4572000" cy="2619375"/>
    <xdr:graphicFrame macro="">
      <xdr:nvGraphicFramePr>
        <xdr:cNvPr id="54423015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552450" cy="504825"/>
    <xdr:pic>
      <xdr:nvPicPr>
        <xdr:cNvPr id="2" name="image1.png" descr="College logo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39</xdr:row>
      <xdr:rowOff>38100</xdr:rowOff>
    </xdr:from>
    <xdr:ext cx="552450" cy="514350"/>
    <xdr:pic>
      <xdr:nvPicPr>
        <xdr:cNvPr id="3" name="image4.png" descr="College logo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82</xdr:row>
      <xdr:rowOff>38100</xdr:rowOff>
    </xdr:from>
    <xdr:ext cx="552450" cy="523875"/>
    <xdr:pic>
      <xdr:nvPicPr>
        <xdr:cNvPr id="4" name="image4.png" descr="College logo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47625</xdr:rowOff>
    </xdr:from>
    <xdr:ext cx="552450" cy="504825"/>
    <xdr:pic>
      <xdr:nvPicPr>
        <xdr:cNvPr id="2" name="image1.png" descr="College logo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619125" cy="55245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190500</xdr:rowOff>
    </xdr:from>
    <xdr:ext cx="428625" cy="3810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9</xdr:row>
      <xdr:rowOff>57150</xdr:rowOff>
    </xdr:from>
    <xdr:ext cx="409575" cy="314325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9525</xdr:rowOff>
    </xdr:from>
    <xdr:ext cx="600075" cy="5334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33</xdr:row>
      <xdr:rowOff>400050</xdr:rowOff>
    </xdr:from>
    <xdr:ext cx="409575" cy="314325"/>
    <xdr:pic>
      <xdr:nvPicPr>
        <xdr:cNvPr id="4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514350" cy="400050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514350" cy="400050"/>
    <xdr:pic>
      <xdr:nvPicPr>
        <xdr:cNvPr id="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514350" cy="400050"/>
    <xdr:pic>
      <xdr:nvPicPr>
        <xdr:cNvPr id="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514350" cy="400050"/>
    <xdr:pic>
      <xdr:nvPicPr>
        <xdr:cNvPr id="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</xdr:row>
      <xdr:rowOff>0</xdr:rowOff>
    </xdr:from>
    <xdr:ext cx="514350" cy="400050"/>
    <xdr:pic>
      <xdr:nvPicPr>
        <xdr:cNvPr id="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514350" cy="400050"/>
    <xdr:pic>
      <xdr:nvPicPr>
        <xdr:cNvPr id="1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514350" cy="400050"/>
    <xdr:pic>
      <xdr:nvPicPr>
        <xdr:cNvPr id="1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514350" cy="400050"/>
    <xdr:pic>
      <xdr:nvPicPr>
        <xdr:cNvPr id="1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514350" cy="400050"/>
    <xdr:pic>
      <xdr:nvPicPr>
        <xdr:cNvPr id="1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514350" cy="400050"/>
    <xdr:pic>
      <xdr:nvPicPr>
        <xdr:cNvPr id="1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514350" cy="400050"/>
    <xdr:pic>
      <xdr:nvPicPr>
        <xdr:cNvPr id="1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514350" cy="400050"/>
    <xdr:pic>
      <xdr:nvPicPr>
        <xdr:cNvPr id="1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12</xdr:row>
      <xdr:rowOff>0</xdr:rowOff>
    </xdr:from>
    <xdr:ext cx="514350" cy="400050"/>
    <xdr:pic>
      <xdr:nvPicPr>
        <xdr:cNvPr id="1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514350" cy="400050"/>
    <xdr:pic>
      <xdr:nvPicPr>
        <xdr:cNvPr id="1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14350" cy="400050"/>
    <xdr:pic>
      <xdr:nvPicPr>
        <xdr:cNvPr id="1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514350" cy="400050"/>
    <xdr:pic>
      <xdr:nvPicPr>
        <xdr:cNvPr id="2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13</xdr:row>
      <xdr:rowOff>0</xdr:rowOff>
    </xdr:from>
    <xdr:ext cx="514350" cy="400050"/>
    <xdr:pic>
      <xdr:nvPicPr>
        <xdr:cNvPr id="2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514350" cy="400050"/>
    <xdr:pic>
      <xdr:nvPicPr>
        <xdr:cNvPr id="2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514350" cy="400050"/>
    <xdr:pic>
      <xdr:nvPicPr>
        <xdr:cNvPr id="2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514350" cy="400050"/>
    <xdr:pic>
      <xdr:nvPicPr>
        <xdr:cNvPr id="2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</xdr:row>
      <xdr:rowOff>0</xdr:rowOff>
    </xdr:from>
    <xdr:ext cx="514350" cy="400050"/>
    <xdr:pic>
      <xdr:nvPicPr>
        <xdr:cNvPr id="2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514350" cy="400050"/>
    <xdr:pic>
      <xdr:nvPicPr>
        <xdr:cNvPr id="2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514350" cy="400050"/>
    <xdr:pic>
      <xdr:nvPicPr>
        <xdr:cNvPr id="2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514350" cy="400050"/>
    <xdr:pic>
      <xdr:nvPicPr>
        <xdr:cNvPr id="2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514350" cy="400050"/>
    <xdr:pic>
      <xdr:nvPicPr>
        <xdr:cNvPr id="2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514350" cy="400050"/>
    <xdr:pic>
      <xdr:nvPicPr>
        <xdr:cNvPr id="3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514350" cy="400050"/>
    <xdr:pic>
      <xdr:nvPicPr>
        <xdr:cNvPr id="3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514350" cy="400050"/>
    <xdr:pic>
      <xdr:nvPicPr>
        <xdr:cNvPr id="3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514350" cy="400050"/>
    <xdr:pic>
      <xdr:nvPicPr>
        <xdr:cNvPr id="3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514350" cy="400050"/>
    <xdr:pic>
      <xdr:nvPicPr>
        <xdr:cNvPr id="3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514350" cy="400050"/>
    <xdr:pic>
      <xdr:nvPicPr>
        <xdr:cNvPr id="3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514350" cy="400050"/>
    <xdr:pic>
      <xdr:nvPicPr>
        <xdr:cNvPr id="3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514350" cy="400050"/>
    <xdr:pic>
      <xdr:nvPicPr>
        <xdr:cNvPr id="3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514350" cy="400050"/>
    <xdr:pic>
      <xdr:nvPicPr>
        <xdr:cNvPr id="3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514350" cy="400050"/>
    <xdr:pic>
      <xdr:nvPicPr>
        <xdr:cNvPr id="3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514350" cy="400050"/>
    <xdr:pic>
      <xdr:nvPicPr>
        <xdr:cNvPr id="4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514350" cy="400050"/>
    <xdr:pic>
      <xdr:nvPicPr>
        <xdr:cNvPr id="4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514350" cy="400050"/>
    <xdr:pic>
      <xdr:nvPicPr>
        <xdr:cNvPr id="4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514350" cy="400050"/>
    <xdr:pic>
      <xdr:nvPicPr>
        <xdr:cNvPr id="4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514350" cy="400050"/>
    <xdr:pic>
      <xdr:nvPicPr>
        <xdr:cNvPr id="4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514350" cy="400050"/>
    <xdr:pic>
      <xdr:nvPicPr>
        <xdr:cNvPr id="4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514350" cy="400050"/>
    <xdr:pic>
      <xdr:nvPicPr>
        <xdr:cNvPr id="4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514350" cy="400050"/>
    <xdr:pic>
      <xdr:nvPicPr>
        <xdr:cNvPr id="4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514350" cy="400050"/>
    <xdr:pic>
      <xdr:nvPicPr>
        <xdr:cNvPr id="4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514350" cy="400050"/>
    <xdr:pic>
      <xdr:nvPicPr>
        <xdr:cNvPr id="4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514350" cy="400050"/>
    <xdr:pic>
      <xdr:nvPicPr>
        <xdr:cNvPr id="5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514350" cy="400050"/>
    <xdr:pic>
      <xdr:nvPicPr>
        <xdr:cNvPr id="5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0</xdr:rowOff>
    </xdr:from>
    <xdr:ext cx="514350" cy="400050"/>
    <xdr:pic>
      <xdr:nvPicPr>
        <xdr:cNvPr id="5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514350" cy="400050"/>
    <xdr:pic>
      <xdr:nvPicPr>
        <xdr:cNvPr id="5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514350" cy="400050"/>
    <xdr:pic>
      <xdr:nvPicPr>
        <xdr:cNvPr id="5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514350" cy="400050"/>
    <xdr:pic>
      <xdr:nvPicPr>
        <xdr:cNvPr id="5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23</xdr:row>
      <xdr:rowOff>0</xdr:rowOff>
    </xdr:from>
    <xdr:ext cx="514350" cy="400050"/>
    <xdr:pic>
      <xdr:nvPicPr>
        <xdr:cNvPr id="5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514350" cy="400050"/>
    <xdr:pic>
      <xdr:nvPicPr>
        <xdr:cNvPr id="5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514350" cy="400050"/>
    <xdr:pic>
      <xdr:nvPicPr>
        <xdr:cNvPr id="5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</xdr:row>
      <xdr:rowOff>0</xdr:rowOff>
    </xdr:from>
    <xdr:ext cx="514350" cy="400050"/>
    <xdr:pic>
      <xdr:nvPicPr>
        <xdr:cNvPr id="5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514350" cy="400050"/>
    <xdr:pic>
      <xdr:nvPicPr>
        <xdr:cNvPr id="6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514350" cy="400050"/>
    <xdr:pic>
      <xdr:nvPicPr>
        <xdr:cNvPr id="6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514350" cy="400050"/>
    <xdr:pic>
      <xdr:nvPicPr>
        <xdr:cNvPr id="6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</xdr:row>
      <xdr:rowOff>0</xdr:rowOff>
    </xdr:from>
    <xdr:ext cx="514350" cy="400050"/>
    <xdr:pic>
      <xdr:nvPicPr>
        <xdr:cNvPr id="6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514350" cy="400050"/>
    <xdr:pic>
      <xdr:nvPicPr>
        <xdr:cNvPr id="6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514350" cy="400050"/>
    <xdr:pic>
      <xdr:nvPicPr>
        <xdr:cNvPr id="6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514350" cy="400050"/>
    <xdr:pic>
      <xdr:nvPicPr>
        <xdr:cNvPr id="6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</xdr:row>
      <xdr:rowOff>0</xdr:rowOff>
    </xdr:from>
    <xdr:ext cx="514350" cy="400050"/>
    <xdr:pic>
      <xdr:nvPicPr>
        <xdr:cNvPr id="6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514350" cy="400050"/>
    <xdr:pic>
      <xdr:nvPicPr>
        <xdr:cNvPr id="6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514350" cy="400050"/>
    <xdr:pic>
      <xdr:nvPicPr>
        <xdr:cNvPr id="6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514350" cy="400050"/>
    <xdr:pic>
      <xdr:nvPicPr>
        <xdr:cNvPr id="7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</xdr:row>
      <xdr:rowOff>0</xdr:rowOff>
    </xdr:from>
    <xdr:ext cx="514350" cy="400050"/>
    <xdr:pic>
      <xdr:nvPicPr>
        <xdr:cNvPr id="7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514350" cy="400050"/>
    <xdr:pic>
      <xdr:nvPicPr>
        <xdr:cNvPr id="7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514350" cy="400050"/>
    <xdr:pic>
      <xdr:nvPicPr>
        <xdr:cNvPr id="7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514350" cy="400050"/>
    <xdr:pic>
      <xdr:nvPicPr>
        <xdr:cNvPr id="7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</xdr:row>
      <xdr:rowOff>0</xdr:rowOff>
    </xdr:from>
    <xdr:ext cx="514350" cy="400050"/>
    <xdr:pic>
      <xdr:nvPicPr>
        <xdr:cNvPr id="7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514350" cy="400050"/>
    <xdr:pic>
      <xdr:nvPicPr>
        <xdr:cNvPr id="7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514350" cy="400050"/>
    <xdr:pic>
      <xdr:nvPicPr>
        <xdr:cNvPr id="7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514350" cy="400050"/>
    <xdr:pic>
      <xdr:nvPicPr>
        <xdr:cNvPr id="7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</xdr:row>
      <xdr:rowOff>0</xdr:rowOff>
    </xdr:from>
    <xdr:ext cx="514350" cy="400050"/>
    <xdr:pic>
      <xdr:nvPicPr>
        <xdr:cNvPr id="7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514350" cy="400050"/>
    <xdr:pic>
      <xdr:nvPicPr>
        <xdr:cNvPr id="8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514350" cy="400050"/>
    <xdr:pic>
      <xdr:nvPicPr>
        <xdr:cNvPr id="8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514350" cy="400050"/>
    <xdr:pic>
      <xdr:nvPicPr>
        <xdr:cNvPr id="8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</xdr:row>
      <xdr:rowOff>0</xdr:rowOff>
    </xdr:from>
    <xdr:ext cx="514350" cy="400050"/>
    <xdr:pic>
      <xdr:nvPicPr>
        <xdr:cNvPr id="8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514350" cy="400050"/>
    <xdr:pic>
      <xdr:nvPicPr>
        <xdr:cNvPr id="8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514350" cy="400050"/>
    <xdr:pic>
      <xdr:nvPicPr>
        <xdr:cNvPr id="8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514350" cy="400050"/>
    <xdr:pic>
      <xdr:nvPicPr>
        <xdr:cNvPr id="8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</xdr:row>
      <xdr:rowOff>0</xdr:rowOff>
    </xdr:from>
    <xdr:ext cx="514350" cy="400050"/>
    <xdr:pic>
      <xdr:nvPicPr>
        <xdr:cNvPr id="8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31</xdr:row>
      <xdr:rowOff>0</xdr:rowOff>
    </xdr:from>
    <xdr:ext cx="514350" cy="400050"/>
    <xdr:pic>
      <xdr:nvPicPr>
        <xdr:cNvPr id="8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514350" cy="400050"/>
    <xdr:pic>
      <xdr:nvPicPr>
        <xdr:cNvPr id="8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514350" cy="400050"/>
    <xdr:pic>
      <xdr:nvPicPr>
        <xdr:cNvPr id="9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</xdr:row>
      <xdr:rowOff>0</xdr:rowOff>
    </xdr:from>
    <xdr:ext cx="514350" cy="400050"/>
    <xdr:pic>
      <xdr:nvPicPr>
        <xdr:cNvPr id="9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32</xdr:row>
      <xdr:rowOff>0</xdr:rowOff>
    </xdr:from>
    <xdr:ext cx="514350" cy="400050"/>
    <xdr:pic>
      <xdr:nvPicPr>
        <xdr:cNvPr id="9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514350" cy="400050"/>
    <xdr:pic>
      <xdr:nvPicPr>
        <xdr:cNvPr id="93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514350" cy="400050"/>
    <xdr:pic>
      <xdr:nvPicPr>
        <xdr:cNvPr id="94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</xdr:row>
      <xdr:rowOff>0</xdr:rowOff>
    </xdr:from>
    <xdr:ext cx="514350" cy="400050"/>
    <xdr:pic>
      <xdr:nvPicPr>
        <xdr:cNvPr id="9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33</xdr:row>
      <xdr:rowOff>0</xdr:rowOff>
    </xdr:from>
    <xdr:ext cx="514350" cy="400050"/>
    <xdr:pic>
      <xdr:nvPicPr>
        <xdr:cNvPr id="96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514350" cy="400050"/>
    <xdr:pic>
      <xdr:nvPicPr>
        <xdr:cNvPr id="97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514350" cy="400050"/>
    <xdr:pic>
      <xdr:nvPicPr>
        <xdr:cNvPr id="98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</xdr:row>
      <xdr:rowOff>0</xdr:rowOff>
    </xdr:from>
    <xdr:ext cx="514350" cy="400050"/>
    <xdr:pic>
      <xdr:nvPicPr>
        <xdr:cNvPr id="99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34</xdr:row>
      <xdr:rowOff>0</xdr:rowOff>
    </xdr:from>
    <xdr:ext cx="514350" cy="400050"/>
    <xdr:pic>
      <xdr:nvPicPr>
        <xdr:cNvPr id="100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514350" cy="400050"/>
    <xdr:pic>
      <xdr:nvPicPr>
        <xdr:cNvPr id="101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</xdr:row>
      <xdr:rowOff>0</xdr:rowOff>
    </xdr:from>
    <xdr:ext cx="514350" cy="400050"/>
    <xdr:pic>
      <xdr:nvPicPr>
        <xdr:cNvPr id="10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600075" cy="5334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590550</xdr:rowOff>
    </xdr:from>
    <xdr:ext cx="485775" cy="428625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%20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 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T9" sqref="T9"/>
    </sheetView>
  </sheetViews>
  <sheetFormatPr defaultColWidth="14.42578125" defaultRowHeight="15" customHeight="1"/>
  <cols>
    <col min="1" max="17" width="8.28515625" customWidth="1"/>
    <col min="18" max="26" width="9.140625" customWidth="1"/>
  </cols>
  <sheetData>
    <row r="1" spans="1:26" ht="24.75" customHeight="1">
      <c r="A1" s="143"/>
      <c r="B1" s="2"/>
      <c r="C1" s="146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>
      <c r="A2" s="144"/>
      <c r="B2" s="2"/>
      <c r="C2" s="147" t="s">
        <v>1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>
      <c r="A3" s="145"/>
      <c r="B3" s="14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>
      <c r="A4" s="136" t="s">
        <v>2</v>
      </c>
      <c r="B4" s="128"/>
      <c r="C4" s="128"/>
      <c r="D4" s="128"/>
      <c r="E4" s="126"/>
      <c r="F4" s="131" t="s">
        <v>3</v>
      </c>
      <c r="G4" s="128"/>
      <c r="H4" s="128"/>
      <c r="I4" s="128"/>
      <c r="J4" s="128"/>
      <c r="K4" s="136" t="s">
        <v>4</v>
      </c>
      <c r="L4" s="128"/>
      <c r="M4" s="126"/>
      <c r="N4" s="131" t="s">
        <v>5</v>
      </c>
      <c r="O4" s="128"/>
      <c r="P4" s="128"/>
      <c r="Q4" s="126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136" t="s">
        <v>6</v>
      </c>
      <c r="B5" s="128"/>
      <c r="C5" s="128"/>
      <c r="D5" s="128"/>
      <c r="E5" s="126"/>
      <c r="F5" s="131" t="s">
        <v>7</v>
      </c>
      <c r="G5" s="128"/>
      <c r="H5" s="128"/>
      <c r="I5" s="128"/>
      <c r="J5" s="128"/>
      <c r="K5" s="136" t="s">
        <v>9</v>
      </c>
      <c r="L5" s="128"/>
      <c r="M5" s="126"/>
      <c r="N5" s="134" t="s">
        <v>10</v>
      </c>
      <c r="O5" s="126"/>
      <c r="P5" s="148" t="s">
        <v>406</v>
      </c>
      <c r="Q5" s="126"/>
      <c r="R5" s="2"/>
      <c r="S5" s="2"/>
      <c r="T5" s="2"/>
      <c r="U5" s="2"/>
      <c r="V5" s="2"/>
      <c r="W5" s="2"/>
      <c r="X5" s="2"/>
      <c r="Y5" s="2"/>
      <c r="Z5" s="2"/>
    </row>
    <row r="6" spans="1:26" ht="24.75" customHeight="1">
      <c r="A6" s="136" t="s">
        <v>13</v>
      </c>
      <c r="B6" s="128"/>
      <c r="C6" s="128"/>
      <c r="D6" s="128"/>
      <c r="E6" s="126"/>
      <c r="F6" s="134" t="s">
        <v>15</v>
      </c>
      <c r="G6" s="128"/>
      <c r="H6" s="128"/>
      <c r="I6" s="128"/>
      <c r="J6" s="126"/>
      <c r="K6" s="136" t="s">
        <v>16</v>
      </c>
      <c r="L6" s="128"/>
      <c r="M6" s="126"/>
      <c r="N6" s="134">
        <v>57</v>
      </c>
      <c r="O6" s="128"/>
      <c r="P6" s="128"/>
      <c r="Q6" s="126"/>
      <c r="R6" s="2"/>
      <c r="S6" s="2"/>
      <c r="T6" s="2"/>
      <c r="U6" s="2"/>
      <c r="V6" s="2"/>
      <c r="W6" s="2"/>
      <c r="X6" s="2"/>
      <c r="Y6" s="2"/>
      <c r="Z6" s="2"/>
    </row>
    <row r="7" spans="1:26" ht="24.75" customHeight="1">
      <c r="A7" s="136" t="s">
        <v>17</v>
      </c>
      <c r="B7" s="128"/>
      <c r="C7" s="128"/>
      <c r="D7" s="128"/>
      <c r="E7" s="126"/>
      <c r="F7" s="134" t="s">
        <v>19</v>
      </c>
      <c r="G7" s="128"/>
      <c r="H7" s="128"/>
      <c r="I7" s="128"/>
      <c r="J7" s="126"/>
      <c r="K7" s="136" t="s">
        <v>20</v>
      </c>
      <c r="L7" s="128"/>
      <c r="M7" s="126"/>
      <c r="N7" s="134"/>
      <c r="O7" s="128"/>
      <c r="P7" s="128"/>
      <c r="Q7" s="126"/>
      <c r="R7" s="2"/>
      <c r="S7" s="2"/>
      <c r="T7" s="2"/>
      <c r="U7" s="2"/>
      <c r="V7" s="2"/>
      <c r="W7" s="2"/>
      <c r="X7" s="2"/>
      <c r="Y7" s="2"/>
      <c r="Z7" s="2"/>
    </row>
    <row r="8" spans="1:26" ht="24.75" customHeight="1">
      <c r="A8" s="136" t="s">
        <v>21</v>
      </c>
      <c r="B8" s="128"/>
      <c r="C8" s="128"/>
      <c r="D8" s="128"/>
      <c r="E8" s="126"/>
      <c r="F8" s="134" t="s">
        <v>405</v>
      </c>
      <c r="G8" s="128"/>
      <c r="H8" s="128"/>
      <c r="I8" s="128"/>
      <c r="J8" s="126"/>
      <c r="K8" s="136" t="s">
        <v>22</v>
      </c>
      <c r="L8" s="128"/>
      <c r="M8" s="126"/>
      <c r="N8" s="134"/>
      <c r="O8" s="128"/>
      <c r="P8" s="128"/>
      <c r="Q8" s="126"/>
      <c r="R8" s="2"/>
      <c r="S8" s="2"/>
      <c r="T8" s="2"/>
      <c r="U8" s="2"/>
      <c r="V8" s="2"/>
      <c r="W8" s="2"/>
      <c r="X8" s="2"/>
      <c r="Y8" s="2"/>
      <c r="Z8" s="2"/>
    </row>
    <row r="9" spans="1:26" ht="24.75" customHeight="1">
      <c r="A9" s="136" t="s">
        <v>24</v>
      </c>
      <c r="B9" s="128"/>
      <c r="C9" s="128"/>
      <c r="D9" s="128"/>
      <c r="E9" s="126"/>
      <c r="F9" s="135"/>
      <c r="G9" s="128"/>
      <c r="H9" s="128"/>
      <c r="I9" s="128"/>
      <c r="J9" s="126"/>
      <c r="K9" s="136" t="s">
        <v>25</v>
      </c>
      <c r="L9" s="128"/>
      <c r="M9" s="126"/>
      <c r="N9" s="135">
        <v>50</v>
      </c>
      <c r="O9" s="128"/>
      <c r="P9" s="128"/>
      <c r="Q9" s="126"/>
      <c r="R9" s="2"/>
      <c r="S9" s="2"/>
      <c r="T9" s="2"/>
      <c r="U9" s="2"/>
      <c r="V9" s="2"/>
      <c r="W9" s="2"/>
      <c r="X9" s="2"/>
      <c r="Y9" s="2"/>
      <c r="Z9" s="2"/>
    </row>
    <row r="10" spans="1:26" ht="24.75" customHeight="1">
      <c r="A10" s="137" t="s">
        <v>27</v>
      </c>
      <c r="B10" s="138"/>
      <c r="C10" s="132" t="s">
        <v>29</v>
      </c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6"/>
      <c r="O10" s="132" t="s">
        <v>30</v>
      </c>
      <c r="P10" s="128"/>
      <c r="Q10" s="126"/>
      <c r="R10" s="2"/>
      <c r="S10" s="2"/>
      <c r="T10" s="2"/>
      <c r="U10" s="2"/>
      <c r="V10" s="2"/>
      <c r="W10" s="2"/>
      <c r="X10" s="2"/>
      <c r="Y10" s="2"/>
      <c r="Z10" s="2"/>
    </row>
    <row r="11" spans="1:26" ht="24.75" customHeight="1">
      <c r="A11" s="139"/>
      <c r="B11" s="140"/>
      <c r="C11" s="132" t="s">
        <v>32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6"/>
      <c r="O11" s="132" t="s">
        <v>34</v>
      </c>
      <c r="P11" s="128"/>
      <c r="Q11" s="126"/>
      <c r="R11" s="2"/>
      <c r="S11" s="2"/>
      <c r="T11" s="2"/>
      <c r="U11" s="2"/>
      <c r="V11" s="2"/>
      <c r="W11" s="2"/>
      <c r="X11" s="2"/>
      <c r="Y11" s="2"/>
      <c r="Z11" s="2"/>
    </row>
    <row r="12" spans="1:26" ht="24.75" customHeight="1">
      <c r="A12" s="141"/>
      <c r="B12" s="142"/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42</v>
      </c>
      <c r="I12" s="6" t="s">
        <v>43</v>
      </c>
      <c r="J12" s="6" t="s">
        <v>44</v>
      </c>
      <c r="K12" s="6" t="s">
        <v>45</v>
      </c>
      <c r="L12" s="6" t="s">
        <v>46</v>
      </c>
      <c r="M12" s="6" t="s">
        <v>47</v>
      </c>
      <c r="N12" s="6"/>
      <c r="O12" s="6" t="s">
        <v>48</v>
      </c>
      <c r="P12" s="6" t="s">
        <v>49</v>
      </c>
      <c r="Q12" s="6" t="s">
        <v>50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24.75" customHeight="1">
      <c r="A13" s="131" t="str">
        <f>CONCATENATE(MID($A$10,1,2),MID($N$7,2,3),".",1)</f>
        <v>CO.1</v>
      </c>
      <c r="B13" s="12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>
      <c r="A14" s="131" t="str">
        <f>CONCATENATE(MID($A$10,1,2),MID($N$7,2,3),".",2)</f>
        <v>CO.2</v>
      </c>
      <c r="B14" s="126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>
      <c r="A15" s="131" t="str">
        <f>CONCATENATE(MID($A$10,1,2),MID($N$7,2,3),".",3)</f>
        <v>CO.3</v>
      </c>
      <c r="B15" s="126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2"/>
      <c r="S15" s="2"/>
      <c r="T15" s="2"/>
      <c r="U15" s="2"/>
      <c r="V15" s="2"/>
      <c r="W15" s="2"/>
      <c r="X15" s="2"/>
      <c r="Y15" s="2"/>
      <c r="Z15" s="2"/>
    </row>
    <row r="16" spans="1:26" ht="24.75" customHeight="1">
      <c r="A16" s="131" t="str">
        <f>CONCATENATE(MID($A$10,1,2),MID($N$7,2,3),".",4)</f>
        <v>CO.4</v>
      </c>
      <c r="B16" s="126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2"/>
      <c r="S16" s="2"/>
      <c r="T16" s="2"/>
      <c r="U16" s="2"/>
      <c r="V16" s="2"/>
      <c r="W16" s="2"/>
      <c r="X16" s="2"/>
      <c r="Y16" s="2"/>
      <c r="Z16" s="2"/>
    </row>
    <row r="17" spans="1:26" ht="24.75" customHeight="1">
      <c r="A17" s="131" t="str">
        <f>CONCATENATE(MID($A$10,1,2),MID($N$7,2,3),".",5)</f>
        <v>CO.5</v>
      </c>
      <c r="B17" s="126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2"/>
      <c r="S17" s="2"/>
      <c r="T17" s="2"/>
      <c r="U17" s="2"/>
      <c r="V17" s="2"/>
      <c r="W17" s="2"/>
      <c r="X17" s="2"/>
      <c r="Y17" s="2"/>
      <c r="Z17" s="2"/>
    </row>
    <row r="18" spans="1:26" ht="24.75" customHeight="1">
      <c r="A18" s="131" t="str">
        <f>CONCATENATE(MID($A$10,1,2),MID($N$7,2,3),".",6)</f>
        <v>CO.6</v>
      </c>
      <c r="B18" s="126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>
      <c r="A19" s="132" t="s">
        <v>52</v>
      </c>
      <c r="B19" s="126"/>
      <c r="C19" s="11" t="str">
        <f t="shared" ref="C19:Q19" si="0">IFERROR(ROUNDUP((SUM(C13:C18))/(COUNT(C13:C18)),2),"NA")</f>
        <v>NA</v>
      </c>
      <c r="D19" s="11" t="str">
        <f t="shared" si="0"/>
        <v>NA</v>
      </c>
      <c r="E19" s="11" t="str">
        <f t="shared" si="0"/>
        <v>NA</v>
      </c>
      <c r="F19" s="11" t="str">
        <f t="shared" si="0"/>
        <v>NA</v>
      </c>
      <c r="G19" s="11" t="str">
        <f t="shared" si="0"/>
        <v>NA</v>
      </c>
      <c r="H19" s="11" t="str">
        <f t="shared" si="0"/>
        <v>NA</v>
      </c>
      <c r="I19" s="11" t="str">
        <f t="shared" si="0"/>
        <v>NA</v>
      </c>
      <c r="J19" s="11" t="str">
        <f t="shared" si="0"/>
        <v>NA</v>
      </c>
      <c r="K19" s="11" t="str">
        <f t="shared" si="0"/>
        <v>NA</v>
      </c>
      <c r="L19" s="11" t="str">
        <f t="shared" si="0"/>
        <v>NA</v>
      </c>
      <c r="M19" s="11" t="str">
        <f t="shared" si="0"/>
        <v>NA</v>
      </c>
      <c r="N19" s="11" t="str">
        <f t="shared" si="0"/>
        <v>NA</v>
      </c>
      <c r="O19" s="11" t="str">
        <f t="shared" si="0"/>
        <v>NA</v>
      </c>
      <c r="P19" s="11" t="str">
        <f t="shared" si="0"/>
        <v>NA</v>
      </c>
      <c r="Q19" s="11" t="str">
        <f t="shared" si="0"/>
        <v>NA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4.75" customHeight="1">
      <c r="A22" s="129" t="s">
        <v>54</v>
      </c>
      <c r="B22" s="128"/>
      <c r="C22" s="128"/>
      <c r="D22" s="128"/>
      <c r="E22" s="128"/>
      <c r="F22" s="128"/>
      <c r="G22" s="126"/>
      <c r="H22" s="2"/>
      <c r="I22" s="133" t="s">
        <v>55</v>
      </c>
      <c r="J22" s="128"/>
      <c r="K22" s="128"/>
      <c r="L22" s="126"/>
      <c r="M22" s="2"/>
      <c r="N22" s="133" t="s">
        <v>56</v>
      </c>
      <c r="O22" s="128"/>
      <c r="P22" s="128"/>
      <c r="Q22" s="126"/>
      <c r="R22" s="2"/>
      <c r="S22" s="2"/>
      <c r="T22" s="2"/>
      <c r="U22" s="2"/>
      <c r="V22" s="2"/>
      <c r="W22" s="2"/>
      <c r="X22" s="2"/>
      <c r="Y22" s="2"/>
      <c r="Z22" s="2"/>
    </row>
    <row r="23" spans="1:26" ht="24.75" customHeight="1">
      <c r="A23" s="13" t="s">
        <v>57</v>
      </c>
      <c r="B23" s="129" t="s">
        <v>58</v>
      </c>
      <c r="C23" s="126"/>
      <c r="D23" s="129" t="s">
        <v>59</v>
      </c>
      <c r="E23" s="128"/>
      <c r="F23" s="128"/>
      <c r="G23" s="126"/>
      <c r="H23" s="2"/>
      <c r="I23" s="14" t="s">
        <v>60</v>
      </c>
      <c r="J23" s="14" t="s">
        <v>61</v>
      </c>
      <c r="K23" s="14" t="s">
        <v>62</v>
      </c>
      <c r="L23" s="14" t="s">
        <v>63</v>
      </c>
      <c r="M23" s="2"/>
      <c r="N23" s="14" t="s">
        <v>60</v>
      </c>
      <c r="O23" s="14" t="s">
        <v>64</v>
      </c>
      <c r="P23" s="14" t="s">
        <v>65</v>
      </c>
      <c r="Q23" s="14"/>
      <c r="R23" s="2"/>
      <c r="S23" s="2"/>
      <c r="T23" s="2"/>
      <c r="U23" s="2"/>
      <c r="V23" s="2"/>
      <c r="W23" s="2"/>
      <c r="X23" s="2"/>
      <c r="Y23" s="2"/>
      <c r="Z23" s="2"/>
    </row>
    <row r="24" spans="1:26" ht="24.75" customHeight="1">
      <c r="A24" s="15">
        <v>1</v>
      </c>
      <c r="B24" s="130"/>
      <c r="C24" s="126"/>
      <c r="D24" s="127"/>
      <c r="E24" s="128"/>
      <c r="F24" s="128"/>
      <c r="G24" s="126"/>
      <c r="H24" s="2"/>
      <c r="I24" s="16" t="s">
        <v>66</v>
      </c>
      <c r="J24" s="10"/>
      <c r="K24" s="10"/>
      <c r="L24" s="15"/>
      <c r="M24" s="2"/>
      <c r="N24" s="16" t="s">
        <v>66</v>
      </c>
      <c r="O24" s="17"/>
      <c r="P24" s="17"/>
      <c r="Q24" s="14" t="s">
        <v>63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 ht="24.75" customHeight="1">
      <c r="A25" s="15">
        <v>2</v>
      </c>
      <c r="B25" s="130"/>
      <c r="C25" s="126"/>
      <c r="D25" s="127"/>
      <c r="E25" s="128"/>
      <c r="F25" s="128"/>
      <c r="G25" s="126"/>
      <c r="H25" s="2"/>
      <c r="I25" s="16" t="s">
        <v>67</v>
      </c>
      <c r="J25" s="10"/>
      <c r="K25" s="10"/>
      <c r="L25" s="10"/>
      <c r="M25" s="2"/>
      <c r="N25" s="16" t="s">
        <v>67</v>
      </c>
      <c r="O25" s="17"/>
      <c r="P25" s="17"/>
      <c r="Q25" s="17"/>
      <c r="R25" s="2"/>
      <c r="S25" s="2"/>
      <c r="T25" s="2"/>
      <c r="U25" s="2"/>
      <c r="V25" s="2"/>
      <c r="W25" s="2"/>
      <c r="X25" s="2"/>
      <c r="Y25" s="2"/>
      <c r="Z25" s="2"/>
    </row>
    <row r="26" spans="1:26" ht="24.75" customHeight="1">
      <c r="A26" s="15">
        <v>3</v>
      </c>
      <c r="B26" s="130"/>
      <c r="C26" s="126"/>
      <c r="D26" s="127"/>
      <c r="E26" s="128"/>
      <c r="F26" s="128"/>
      <c r="G26" s="126"/>
      <c r="H26" s="2"/>
      <c r="I26" s="16" t="s">
        <v>68</v>
      </c>
      <c r="J26" s="10"/>
      <c r="K26" s="10"/>
      <c r="L26" s="10"/>
      <c r="M26" s="2"/>
      <c r="N26" s="16" t="s">
        <v>68</v>
      </c>
      <c r="O26" s="17"/>
      <c r="P26" s="17"/>
      <c r="Q26" s="17"/>
      <c r="R26" s="2"/>
      <c r="S26" s="2"/>
      <c r="T26" s="2"/>
      <c r="U26" s="2"/>
      <c r="V26" s="2"/>
      <c r="W26" s="2"/>
      <c r="X26" s="2"/>
      <c r="Y26" s="2"/>
      <c r="Z26" s="2"/>
    </row>
    <row r="27" spans="1:26" ht="24.75" customHeight="1">
      <c r="A27" s="15">
        <v>4</v>
      </c>
      <c r="B27" s="130"/>
      <c r="C27" s="126"/>
      <c r="D27" s="127"/>
      <c r="E27" s="128"/>
      <c r="F27" s="128"/>
      <c r="G27" s="126"/>
      <c r="H27" s="2"/>
      <c r="I27" s="16" t="s">
        <v>69</v>
      </c>
      <c r="J27" s="10"/>
      <c r="K27" s="10"/>
      <c r="L27" s="10"/>
      <c r="M27" s="2"/>
      <c r="N27" s="16" t="s">
        <v>69</v>
      </c>
      <c r="O27" s="17"/>
      <c r="P27" s="17"/>
      <c r="Q27" s="17"/>
      <c r="R27" s="2"/>
      <c r="S27" s="2"/>
      <c r="T27" s="2"/>
      <c r="U27" s="2"/>
      <c r="V27" s="2"/>
      <c r="W27" s="2"/>
      <c r="X27" s="2"/>
      <c r="Y27" s="2"/>
      <c r="Z27" s="2"/>
    </row>
    <row r="28" spans="1:26" ht="24.75" customHeight="1">
      <c r="A28" s="15">
        <v>5</v>
      </c>
      <c r="B28" s="130"/>
      <c r="C28" s="126"/>
      <c r="D28" s="127"/>
      <c r="E28" s="128"/>
      <c r="F28" s="128"/>
      <c r="G28" s="126"/>
      <c r="H28" s="2"/>
      <c r="I28" s="16" t="s">
        <v>71</v>
      </c>
      <c r="J28" s="10"/>
      <c r="K28" s="10"/>
      <c r="L28" s="10"/>
      <c r="M28" s="2"/>
      <c r="N28" s="16" t="s">
        <v>71</v>
      </c>
      <c r="O28" s="17"/>
      <c r="P28" s="17"/>
      <c r="Q28" s="17"/>
      <c r="R28" s="2"/>
      <c r="S28" s="2"/>
      <c r="T28" s="2"/>
      <c r="U28" s="2"/>
      <c r="V28" s="2"/>
      <c r="W28" s="2"/>
      <c r="X28" s="2"/>
      <c r="Y28" s="2"/>
      <c r="Z28" s="2"/>
    </row>
    <row r="29" spans="1:26" ht="24.75" customHeight="1">
      <c r="A29" s="15">
        <v>6</v>
      </c>
      <c r="B29" s="130"/>
      <c r="C29" s="126"/>
      <c r="D29" s="127"/>
      <c r="E29" s="128"/>
      <c r="F29" s="128"/>
      <c r="G29" s="126"/>
      <c r="H29" s="2"/>
      <c r="I29" s="16" t="s">
        <v>72</v>
      </c>
      <c r="J29" s="10"/>
      <c r="K29" s="10"/>
      <c r="L29" s="10"/>
      <c r="M29" s="2"/>
      <c r="N29" s="16" t="s">
        <v>72</v>
      </c>
      <c r="O29" s="17"/>
      <c r="P29" s="17"/>
      <c r="Q29" s="17"/>
      <c r="R29" s="2"/>
      <c r="S29" s="2"/>
      <c r="T29" s="2"/>
      <c r="U29" s="2"/>
      <c r="V29" s="2"/>
      <c r="W29" s="2"/>
      <c r="X29" s="2"/>
      <c r="Y29" s="2"/>
      <c r="Z29" s="2"/>
    </row>
    <row r="30" spans="1:26" ht="24.75" customHeight="1">
      <c r="A30" s="15">
        <v>7</v>
      </c>
      <c r="B30" s="130"/>
      <c r="C30" s="126"/>
      <c r="D30" s="127"/>
      <c r="E30" s="128"/>
      <c r="F30" s="128"/>
      <c r="G30" s="126"/>
      <c r="H30" s="2"/>
      <c r="I30" s="16" t="s">
        <v>73</v>
      </c>
      <c r="J30" s="10"/>
      <c r="K30" s="10"/>
      <c r="L30" s="10"/>
      <c r="M30" s="2"/>
      <c r="N30" s="16" t="s">
        <v>73</v>
      </c>
      <c r="O30" s="17"/>
      <c r="P30" s="17"/>
      <c r="Q30" s="17"/>
      <c r="R30" s="2"/>
      <c r="S30" s="2"/>
      <c r="T30" s="2"/>
      <c r="U30" s="2"/>
      <c r="V30" s="2"/>
      <c r="W30" s="2"/>
      <c r="X30" s="2"/>
      <c r="Y30" s="2"/>
      <c r="Z30" s="2"/>
    </row>
    <row r="31" spans="1:26" ht="24.75" customHeight="1">
      <c r="A31" s="15">
        <v>8</v>
      </c>
      <c r="B31" s="130"/>
      <c r="C31" s="126"/>
      <c r="D31" s="127"/>
      <c r="E31" s="128"/>
      <c r="F31" s="128"/>
      <c r="G31" s="126"/>
      <c r="H31" s="2"/>
      <c r="I31" s="16" t="s">
        <v>74</v>
      </c>
      <c r="J31" s="10"/>
      <c r="K31" s="10"/>
      <c r="L31" s="10"/>
      <c r="M31" s="2"/>
      <c r="N31" s="16" t="s">
        <v>74</v>
      </c>
      <c r="O31" s="17"/>
      <c r="P31" s="17"/>
      <c r="Q31" s="17"/>
      <c r="R31" s="2"/>
      <c r="S31" s="2"/>
      <c r="T31" s="2"/>
      <c r="U31" s="2"/>
      <c r="V31" s="2"/>
      <c r="W31" s="2"/>
      <c r="X31" s="2"/>
      <c r="Y31" s="2"/>
      <c r="Z31" s="2"/>
    </row>
    <row r="32" spans="1:26" ht="24.75" customHeight="1">
      <c r="A32" s="15">
        <v>9</v>
      </c>
      <c r="B32" s="125"/>
      <c r="C32" s="126"/>
      <c r="D32" s="127"/>
      <c r="E32" s="128"/>
      <c r="F32" s="128"/>
      <c r="G32" s="126"/>
      <c r="H32" s="2"/>
      <c r="I32" s="16" t="s">
        <v>76</v>
      </c>
      <c r="J32" s="10"/>
      <c r="K32" s="10"/>
      <c r="L32" s="14" t="s">
        <v>77</v>
      </c>
      <c r="M32" s="2"/>
      <c r="N32" s="16" t="s">
        <v>76</v>
      </c>
      <c r="O32" s="17"/>
      <c r="P32" s="17"/>
      <c r="Q32" s="17"/>
      <c r="R32" s="2"/>
      <c r="S32" s="2"/>
      <c r="T32" s="2"/>
      <c r="U32" s="2"/>
      <c r="V32" s="2"/>
      <c r="W32" s="2"/>
      <c r="X32" s="2"/>
      <c r="Y32" s="2"/>
      <c r="Z32" s="2"/>
    </row>
    <row r="33" spans="1:26" ht="24.75" customHeight="1">
      <c r="A33" s="15">
        <v>10</v>
      </c>
      <c r="B33" s="125"/>
      <c r="C33" s="126"/>
      <c r="D33" s="127"/>
      <c r="E33" s="128"/>
      <c r="F33" s="128"/>
      <c r="G33" s="126"/>
      <c r="H33" s="2"/>
      <c r="I33" s="16"/>
      <c r="J33" s="10"/>
      <c r="K33" s="10"/>
      <c r="L33" s="15"/>
      <c r="M33" s="2"/>
      <c r="N33" s="16"/>
      <c r="O33" s="17"/>
      <c r="P33" s="17"/>
      <c r="Q33" s="14" t="s">
        <v>77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ht="24.75" customHeight="1">
      <c r="A34" s="15">
        <v>11</v>
      </c>
      <c r="B34" s="125"/>
      <c r="C34" s="126"/>
      <c r="D34" s="127"/>
      <c r="E34" s="128"/>
      <c r="F34" s="128"/>
      <c r="G34" s="126"/>
      <c r="H34" s="2"/>
      <c r="I34" s="16"/>
      <c r="J34" s="10"/>
      <c r="K34" s="10"/>
      <c r="L34" s="10"/>
      <c r="M34" s="2"/>
      <c r="N34" s="16"/>
      <c r="O34" s="17"/>
      <c r="P34" s="17"/>
      <c r="Q34" s="17"/>
      <c r="R34" s="2"/>
      <c r="S34" s="2"/>
      <c r="T34" s="2"/>
      <c r="U34" s="2"/>
      <c r="V34" s="2"/>
      <c r="W34" s="2"/>
      <c r="X34" s="2"/>
      <c r="Y34" s="2"/>
      <c r="Z34" s="2"/>
    </row>
    <row r="35" spans="1:26" ht="24.75" customHeight="1">
      <c r="A35" s="15">
        <v>12</v>
      </c>
      <c r="B35" s="125"/>
      <c r="C35" s="126"/>
      <c r="D35" s="127"/>
      <c r="E35" s="128"/>
      <c r="F35" s="128"/>
      <c r="G35" s="126"/>
      <c r="H35" s="2"/>
      <c r="I35" s="20"/>
      <c r="J35" s="10"/>
      <c r="K35" s="10"/>
      <c r="L35" s="10"/>
      <c r="M35" s="2"/>
      <c r="N35" s="20"/>
      <c r="O35" s="17"/>
      <c r="P35" s="17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 spans="1:26" ht="24.75" customHeight="1">
      <c r="A36" s="15">
        <v>13</v>
      </c>
      <c r="B36" s="125"/>
      <c r="C36" s="126"/>
      <c r="D36" s="127"/>
      <c r="E36" s="128"/>
      <c r="F36" s="128"/>
      <c r="G36" s="126"/>
      <c r="H36" s="2"/>
      <c r="I36" s="20" t="s">
        <v>78</v>
      </c>
      <c r="J36" s="10"/>
      <c r="K36" s="10"/>
      <c r="L36" s="10"/>
      <c r="M36" s="2"/>
      <c r="N36" s="20" t="s">
        <v>78</v>
      </c>
      <c r="O36" s="17"/>
      <c r="P36" s="17"/>
      <c r="Q36" s="17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>
      <c r="A37" s="15">
        <v>14</v>
      </c>
      <c r="B37" s="125"/>
      <c r="C37" s="126"/>
      <c r="D37" s="127"/>
      <c r="E37" s="128"/>
      <c r="F37" s="128"/>
      <c r="G37" s="126"/>
      <c r="H37" s="2"/>
      <c r="I37" s="20" t="s">
        <v>78</v>
      </c>
      <c r="J37" s="10"/>
      <c r="K37" s="10"/>
      <c r="L37" s="10"/>
      <c r="M37" s="2"/>
      <c r="N37" s="20" t="s">
        <v>78</v>
      </c>
      <c r="O37" s="17"/>
      <c r="P37" s="17"/>
      <c r="Q37" s="17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>
      <c r="A38" s="15">
        <v>15</v>
      </c>
      <c r="B38" s="125"/>
      <c r="C38" s="126"/>
      <c r="D38" s="127"/>
      <c r="E38" s="128"/>
      <c r="F38" s="128"/>
      <c r="G38" s="126"/>
      <c r="H38" s="2"/>
      <c r="I38" s="20" t="s">
        <v>79</v>
      </c>
      <c r="J38" s="10"/>
      <c r="K38" s="10"/>
      <c r="L38" s="10"/>
      <c r="M38" s="2"/>
      <c r="N38" s="20" t="s">
        <v>79</v>
      </c>
      <c r="O38" s="17"/>
      <c r="P38" s="17"/>
      <c r="Q38" s="17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>
      <c r="A39" s="15">
        <v>16</v>
      </c>
      <c r="B39" s="125"/>
      <c r="C39" s="126"/>
      <c r="D39" s="127"/>
      <c r="E39" s="128"/>
      <c r="F39" s="128"/>
      <c r="G39" s="126"/>
      <c r="H39" s="2"/>
      <c r="I39" s="20" t="s">
        <v>79</v>
      </c>
      <c r="J39" s="10"/>
      <c r="K39" s="10"/>
      <c r="L39" s="10"/>
      <c r="M39" s="2"/>
      <c r="N39" s="20" t="s">
        <v>79</v>
      </c>
      <c r="O39" s="17"/>
      <c r="P39" s="17"/>
      <c r="Q39" s="17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>
      <c r="A40" s="15">
        <v>17</v>
      </c>
      <c r="B40" s="125"/>
      <c r="C40" s="126"/>
      <c r="D40" s="127"/>
      <c r="E40" s="128"/>
      <c r="F40" s="128"/>
      <c r="G40" s="126"/>
      <c r="H40" s="2"/>
      <c r="I40" s="16" t="s">
        <v>80</v>
      </c>
      <c r="J40" s="10"/>
      <c r="K40" s="10"/>
      <c r="L40" s="10"/>
      <c r="M40" s="2"/>
      <c r="N40" s="16" t="s">
        <v>80</v>
      </c>
      <c r="O40" s="17"/>
      <c r="P40" s="17"/>
      <c r="Q40" s="17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>
      <c r="A41" s="15">
        <v>18</v>
      </c>
      <c r="B41" s="125"/>
      <c r="C41" s="126"/>
      <c r="D41" s="127"/>
      <c r="E41" s="128"/>
      <c r="F41" s="128"/>
      <c r="G41" s="12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>
      <c r="A42" s="15">
        <v>19</v>
      </c>
      <c r="B42" s="125"/>
      <c r="C42" s="126"/>
      <c r="D42" s="127"/>
      <c r="E42" s="128"/>
      <c r="F42" s="128"/>
      <c r="G42" s="12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>
      <c r="A43" s="15">
        <v>20</v>
      </c>
      <c r="B43" s="125"/>
      <c r="C43" s="126"/>
      <c r="D43" s="127"/>
      <c r="E43" s="128"/>
      <c r="F43" s="128"/>
      <c r="G43" s="1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>
      <c r="A44" s="15">
        <v>21</v>
      </c>
      <c r="B44" s="125"/>
      <c r="C44" s="126"/>
      <c r="D44" s="127"/>
      <c r="E44" s="128"/>
      <c r="F44" s="128"/>
      <c r="G44" s="12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>
      <c r="A45" s="15">
        <v>22</v>
      </c>
      <c r="B45" s="125"/>
      <c r="C45" s="126"/>
      <c r="D45" s="127"/>
      <c r="E45" s="128"/>
      <c r="F45" s="128"/>
      <c r="G45" s="12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>
      <c r="A46" s="15">
        <v>23</v>
      </c>
      <c r="B46" s="125"/>
      <c r="C46" s="126"/>
      <c r="D46" s="127"/>
      <c r="E46" s="128"/>
      <c r="F46" s="128"/>
      <c r="G46" s="12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>
      <c r="A47" s="15">
        <v>24</v>
      </c>
      <c r="B47" s="125"/>
      <c r="C47" s="126"/>
      <c r="D47" s="127"/>
      <c r="E47" s="128"/>
      <c r="F47" s="128"/>
      <c r="G47" s="12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>
      <c r="A48" s="15">
        <v>25</v>
      </c>
      <c r="B48" s="125"/>
      <c r="C48" s="126"/>
      <c r="D48" s="127"/>
      <c r="E48" s="128"/>
      <c r="F48" s="128"/>
      <c r="G48" s="12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>
      <c r="A49" s="15">
        <v>26</v>
      </c>
      <c r="B49" s="125"/>
      <c r="C49" s="126"/>
      <c r="D49" s="127"/>
      <c r="E49" s="128"/>
      <c r="F49" s="128"/>
      <c r="G49" s="12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>
      <c r="A50" s="15">
        <v>27</v>
      </c>
      <c r="B50" s="125"/>
      <c r="C50" s="126"/>
      <c r="D50" s="127"/>
      <c r="E50" s="128"/>
      <c r="F50" s="128"/>
      <c r="G50" s="12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>
      <c r="A51" s="15">
        <v>28</v>
      </c>
      <c r="B51" s="125"/>
      <c r="C51" s="126"/>
      <c r="D51" s="127"/>
      <c r="E51" s="128"/>
      <c r="F51" s="128"/>
      <c r="G51" s="12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>
      <c r="A52" s="15">
        <v>29</v>
      </c>
      <c r="B52" s="125"/>
      <c r="C52" s="126"/>
      <c r="D52" s="127"/>
      <c r="E52" s="128"/>
      <c r="F52" s="128"/>
      <c r="G52" s="12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>
      <c r="A53" s="15">
        <v>30</v>
      </c>
      <c r="B53" s="125"/>
      <c r="C53" s="126"/>
      <c r="D53" s="127"/>
      <c r="E53" s="128"/>
      <c r="F53" s="128"/>
      <c r="G53" s="12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>
      <c r="A54" s="15">
        <v>31</v>
      </c>
      <c r="B54" s="125"/>
      <c r="C54" s="126"/>
      <c r="D54" s="127"/>
      <c r="E54" s="128"/>
      <c r="F54" s="128"/>
      <c r="G54" s="12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>
      <c r="A55" s="15">
        <v>32</v>
      </c>
      <c r="B55" s="125"/>
      <c r="C55" s="126"/>
      <c r="D55" s="127"/>
      <c r="E55" s="128"/>
      <c r="F55" s="128"/>
      <c r="G55" s="12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>
      <c r="A56" s="15">
        <v>33</v>
      </c>
      <c r="B56" s="125"/>
      <c r="C56" s="126"/>
      <c r="D56" s="127"/>
      <c r="E56" s="128"/>
      <c r="F56" s="128"/>
      <c r="G56" s="12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>
      <c r="A57" s="15">
        <v>34</v>
      </c>
      <c r="B57" s="125"/>
      <c r="C57" s="126"/>
      <c r="D57" s="127"/>
      <c r="E57" s="128"/>
      <c r="F57" s="128"/>
      <c r="G57" s="12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>
      <c r="A58" s="15">
        <v>35</v>
      </c>
      <c r="B58" s="125"/>
      <c r="C58" s="126"/>
      <c r="D58" s="127"/>
      <c r="E58" s="128"/>
      <c r="F58" s="128"/>
      <c r="G58" s="12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>
      <c r="A59" s="15">
        <v>36</v>
      </c>
      <c r="B59" s="125"/>
      <c r="C59" s="126"/>
      <c r="D59" s="127"/>
      <c r="E59" s="128"/>
      <c r="F59" s="128"/>
      <c r="G59" s="12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>
      <c r="A60" s="15">
        <v>37</v>
      </c>
      <c r="B60" s="125"/>
      <c r="C60" s="126"/>
      <c r="D60" s="127"/>
      <c r="E60" s="128"/>
      <c r="F60" s="128"/>
      <c r="G60" s="12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>
      <c r="A61" s="15">
        <v>38</v>
      </c>
      <c r="B61" s="125"/>
      <c r="C61" s="126"/>
      <c r="D61" s="127"/>
      <c r="E61" s="128"/>
      <c r="F61" s="128"/>
      <c r="G61" s="12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>
      <c r="A62" s="15">
        <v>39</v>
      </c>
      <c r="B62" s="125"/>
      <c r="C62" s="126"/>
      <c r="D62" s="127"/>
      <c r="E62" s="128"/>
      <c r="F62" s="128"/>
      <c r="G62" s="12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>
      <c r="A63" s="15">
        <v>40</v>
      </c>
      <c r="B63" s="125"/>
      <c r="C63" s="126"/>
      <c r="D63" s="127"/>
      <c r="E63" s="128"/>
      <c r="F63" s="128"/>
      <c r="G63" s="12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>
      <c r="A64" s="15">
        <v>41</v>
      </c>
      <c r="B64" s="125"/>
      <c r="C64" s="126"/>
      <c r="D64" s="127"/>
      <c r="E64" s="128"/>
      <c r="F64" s="128"/>
      <c r="G64" s="12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>
      <c r="A65" s="15">
        <v>42</v>
      </c>
      <c r="B65" s="125"/>
      <c r="C65" s="126"/>
      <c r="D65" s="127"/>
      <c r="E65" s="128"/>
      <c r="F65" s="128"/>
      <c r="G65" s="12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>
      <c r="A66" s="15">
        <v>43</v>
      </c>
      <c r="B66" s="125"/>
      <c r="C66" s="126"/>
      <c r="D66" s="127"/>
      <c r="E66" s="128"/>
      <c r="F66" s="128"/>
      <c r="G66" s="12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>
      <c r="A67" s="15">
        <v>44</v>
      </c>
      <c r="B67" s="125"/>
      <c r="C67" s="126"/>
      <c r="D67" s="127"/>
      <c r="E67" s="128"/>
      <c r="F67" s="128"/>
      <c r="G67" s="12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>
      <c r="A68" s="15">
        <v>45</v>
      </c>
      <c r="B68" s="125"/>
      <c r="C68" s="126"/>
      <c r="D68" s="127"/>
      <c r="E68" s="128"/>
      <c r="F68" s="128"/>
      <c r="G68" s="12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>
      <c r="A69" s="15">
        <v>46</v>
      </c>
      <c r="B69" s="125"/>
      <c r="C69" s="126"/>
      <c r="D69" s="127"/>
      <c r="E69" s="128"/>
      <c r="F69" s="128"/>
      <c r="G69" s="12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>
      <c r="A70" s="15">
        <v>47</v>
      </c>
      <c r="B70" s="125"/>
      <c r="C70" s="126"/>
      <c r="D70" s="127"/>
      <c r="E70" s="128"/>
      <c r="F70" s="128"/>
      <c r="G70" s="12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>
      <c r="A71" s="15">
        <v>48</v>
      </c>
      <c r="B71" s="125"/>
      <c r="C71" s="126"/>
      <c r="D71" s="127"/>
      <c r="E71" s="128"/>
      <c r="F71" s="128"/>
      <c r="G71" s="12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>
      <c r="A72" s="15">
        <v>49</v>
      </c>
      <c r="B72" s="125"/>
      <c r="C72" s="126"/>
      <c r="D72" s="127"/>
      <c r="E72" s="128"/>
      <c r="F72" s="128"/>
      <c r="G72" s="12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>
      <c r="A73" s="15">
        <v>50</v>
      </c>
      <c r="B73" s="125"/>
      <c r="C73" s="126"/>
      <c r="D73" s="127"/>
      <c r="E73" s="128"/>
      <c r="F73" s="128"/>
      <c r="G73" s="12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>
      <c r="A74" s="15">
        <v>51</v>
      </c>
      <c r="B74" s="125"/>
      <c r="C74" s="126"/>
      <c r="D74" s="127"/>
      <c r="E74" s="128"/>
      <c r="F74" s="128"/>
      <c r="G74" s="12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>
      <c r="A75" s="15">
        <v>52</v>
      </c>
      <c r="B75" s="125"/>
      <c r="C75" s="126"/>
      <c r="D75" s="127"/>
      <c r="E75" s="128"/>
      <c r="F75" s="128"/>
      <c r="G75" s="12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>
      <c r="A76" s="15">
        <v>53</v>
      </c>
      <c r="B76" s="125"/>
      <c r="C76" s="126"/>
      <c r="D76" s="127"/>
      <c r="E76" s="128"/>
      <c r="F76" s="128"/>
      <c r="G76" s="12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>
      <c r="A77" s="15">
        <v>54</v>
      </c>
      <c r="B77" s="125"/>
      <c r="C77" s="126"/>
      <c r="D77" s="127"/>
      <c r="E77" s="128"/>
      <c r="F77" s="128"/>
      <c r="G77" s="12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>
      <c r="A78" s="15">
        <v>55</v>
      </c>
      <c r="B78" s="125"/>
      <c r="C78" s="126"/>
      <c r="D78" s="127"/>
      <c r="E78" s="128"/>
      <c r="F78" s="128"/>
      <c r="G78" s="12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>
      <c r="A79" s="15">
        <v>56</v>
      </c>
      <c r="B79" s="125"/>
      <c r="C79" s="126"/>
      <c r="D79" s="127"/>
      <c r="E79" s="128"/>
      <c r="F79" s="128"/>
      <c r="G79" s="12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>
      <c r="A80" s="15">
        <v>57</v>
      </c>
      <c r="B80" s="125"/>
      <c r="C80" s="126"/>
      <c r="D80" s="127"/>
      <c r="E80" s="128"/>
      <c r="F80" s="128"/>
      <c r="G80" s="12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>
      <c r="A81" s="15">
        <v>58</v>
      </c>
      <c r="B81" s="125"/>
      <c r="C81" s="126"/>
      <c r="D81" s="127"/>
      <c r="E81" s="128"/>
      <c r="F81" s="128"/>
      <c r="G81" s="12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>
      <c r="A82" s="15">
        <v>59</v>
      </c>
      <c r="B82" s="125"/>
      <c r="C82" s="126"/>
      <c r="D82" s="127"/>
      <c r="E82" s="128"/>
      <c r="F82" s="128"/>
      <c r="G82" s="12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>
      <c r="A83" s="15">
        <v>60</v>
      </c>
      <c r="B83" s="125"/>
      <c r="C83" s="126"/>
      <c r="D83" s="127"/>
      <c r="E83" s="128"/>
      <c r="F83" s="128"/>
      <c r="G83" s="12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>
      <c r="A84" s="15">
        <v>61</v>
      </c>
      <c r="B84" s="125"/>
      <c r="C84" s="126"/>
      <c r="D84" s="127"/>
      <c r="E84" s="128"/>
      <c r="F84" s="128"/>
      <c r="G84" s="12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>
      <c r="A85" s="15">
        <v>62</v>
      </c>
      <c r="B85" s="125"/>
      <c r="C85" s="126"/>
      <c r="D85" s="127"/>
      <c r="E85" s="128"/>
      <c r="F85" s="128"/>
      <c r="G85" s="12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>
      <c r="A86" s="15">
        <v>63</v>
      </c>
      <c r="B86" s="125"/>
      <c r="C86" s="126"/>
      <c r="D86" s="127"/>
      <c r="E86" s="128"/>
      <c r="F86" s="128"/>
      <c r="G86" s="12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>
      <c r="A87" s="15">
        <v>64</v>
      </c>
      <c r="B87" s="125"/>
      <c r="C87" s="126"/>
      <c r="D87" s="127"/>
      <c r="E87" s="128"/>
      <c r="F87" s="128"/>
      <c r="G87" s="12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>
      <c r="A88" s="15">
        <v>65</v>
      </c>
      <c r="B88" s="125"/>
      <c r="C88" s="126"/>
      <c r="D88" s="127"/>
      <c r="E88" s="128"/>
      <c r="F88" s="128"/>
      <c r="G88" s="12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>
      <c r="A89" s="15">
        <v>66</v>
      </c>
      <c r="B89" s="125"/>
      <c r="C89" s="126"/>
      <c r="D89" s="127"/>
      <c r="E89" s="128"/>
      <c r="F89" s="128"/>
      <c r="G89" s="12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>
      <c r="A90" s="15">
        <v>67</v>
      </c>
      <c r="B90" s="125"/>
      <c r="C90" s="126"/>
      <c r="D90" s="127"/>
      <c r="E90" s="128"/>
      <c r="F90" s="128"/>
      <c r="G90" s="12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>
      <c r="A91" s="15">
        <v>68</v>
      </c>
      <c r="B91" s="125"/>
      <c r="C91" s="126"/>
      <c r="D91" s="127"/>
      <c r="E91" s="128"/>
      <c r="F91" s="128"/>
      <c r="G91" s="12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>
      <c r="A92" s="15">
        <v>69</v>
      </c>
      <c r="B92" s="125"/>
      <c r="C92" s="126"/>
      <c r="D92" s="127"/>
      <c r="E92" s="128"/>
      <c r="F92" s="128"/>
      <c r="G92" s="12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>
      <c r="A93" s="15">
        <v>70</v>
      </c>
      <c r="B93" s="125"/>
      <c r="C93" s="126"/>
      <c r="D93" s="127"/>
      <c r="E93" s="128"/>
      <c r="F93" s="128"/>
      <c r="G93" s="12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>
      <c r="A94" s="15">
        <v>71</v>
      </c>
      <c r="B94" s="125"/>
      <c r="C94" s="126"/>
      <c r="D94" s="127"/>
      <c r="E94" s="128"/>
      <c r="F94" s="128"/>
      <c r="G94" s="12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>
      <c r="A95" s="15">
        <v>72</v>
      </c>
      <c r="B95" s="125"/>
      <c r="C95" s="126"/>
      <c r="D95" s="127"/>
      <c r="E95" s="128"/>
      <c r="F95" s="128"/>
      <c r="G95" s="12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>
      <c r="A96" s="15">
        <v>73</v>
      </c>
      <c r="B96" s="125"/>
      <c r="C96" s="126"/>
      <c r="D96" s="127"/>
      <c r="E96" s="128"/>
      <c r="F96" s="128"/>
      <c r="G96" s="12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>
      <c r="A97" s="15">
        <v>74</v>
      </c>
      <c r="B97" s="125"/>
      <c r="C97" s="126"/>
      <c r="D97" s="127"/>
      <c r="E97" s="128"/>
      <c r="F97" s="128"/>
      <c r="G97" s="12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>
      <c r="A98" s="15">
        <v>75</v>
      </c>
      <c r="B98" s="125"/>
      <c r="C98" s="126"/>
      <c r="D98" s="127"/>
      <c r="E98" s="128"/>
      <c r="F98" s="128"/>
      <c r="G98" s="12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4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4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4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4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4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4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4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4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4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4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4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4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4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4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4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4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4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4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4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4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4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4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4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4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4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4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4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4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4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4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4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4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4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4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4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4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4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4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4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4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4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4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4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4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4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4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4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4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4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4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4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4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4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4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4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4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4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4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6">
    <mergeCell ref="B50:C50"/>
    <mergeCell ref="B51:C51"/>
    <mergeCell ref="B52:C52"/>
    <mergeCell ref="B53:C53"/>
    <mergeCell ref="D53:G53"/>
    <mergeCell ref="B54:C54"/>
    <mergeCell ref="D54:G54"/>
    <mergeCell ref="B55:C55"/>
    <mergeCell ref="D55:G55"/>
    <mergeCell ref="B32:C32"/>
    <mergeCell ref="B33:C33"/>
    <mergeCell ref="B34:C34"/>
    <mergeCell ref="B35:C35"/>
    <mergeCell ref="D30:G30"/>
    <mergeCell ref="D31:G31"/>
    <mergeCell ref="D32:G32"/>
    <mergeCell ref="D33:G33"/>
    <mergeCell ref="D34:G34"/>
    <mergeCell ref="D26:G26"/>
    <mergeCell ref="B27:C27"/>
    <mergeCell ref="D27:G27"/>
    <mergeCell ref="B28:C28"/>
    <mergeCell ref="D28:G28"/>
    <mergeCell ref="D29:G29"/>
    <mergeCell ref="B29:C29"/>
    <mergeCell ref="B30:C30"/>
    <mergeCell ref="B31:C31"/>
    <mergeCell ref="B63:C63"/>
    <mergeCell ref="D63:G63"/>
    <mergeCell ref="B64:C64"/>
    <mergeCell ref="D64:G64"/>
    <mergeCell ref="D65:G65"/>
    <mergeCell ref="D35:G35"/>
    <mergeCell ref="D36:G36"/>
    <mergeCell ref="B36:C36"/>
    <mergeCell ref="B37:C37"/>
    <mergeCell ref="B38:C38"/>
    <mergeCell ref="B39:C39"/>
    <mergeCell ref="B40:C40"/>
    <mergeCell ref="B41:C41"/>
    <mergeCell ref="B42:C42"/>
    <mergeCell ref="D37:G37"/>
    <mergeCell ref="D38:G38"/>
    <mergeCell ref="D39:G39"/>
    <mergeCell ref="D40:G40"/>
    <mergeCell ref="D41:G41"/>
    <mergeCell ref="D42:G42"/>
    <mergeCell ref="B56:C56"/>
    <mergeCell ref="D56:G56"/>
    <mergeCell ref="B57:C57"/>
    <mergeCell ref="D57:G57"/>
    <mergeCell ref="B58:C58"/>
    <mergeCell ref="B59:C59"/>
    <mergeCell ref="D59:G59"/>
    <mergeCell ref="B60:C60"/>
    <mergeCell ref="D60:G60"/>
    <mergeCell ref="B61:C61"/>
    <mergeCell ref="D61:G61"/>
    <mergeCell ref="B62:C62"/>
    <mergeCell ref="D62:G62"/>
    <mergeCell ref="D58:G58"/>
    <mergeCell ref="B98:C98"/>
    <mergeCell ref="D98:G98"/>
    <mergeCell ref="B93:C93"/>
    <mergeCell ref="B94:C94"/>
    <mergeCell ref="D94:G94"/>
    <mergeCell ref="B95:C95"/>
    <mergeCell ref="D95:G95"/>
    <mergeCell ref="B96:C96"/>
    <mergeCell ref="D96:G96"/>
    <mergeCell ref="B97:C97"/>
    <mergeCell ref="D97:G97"/>
    <mergeCell ref="A1:A3"/>
    <mergeCell ref="C1:Q1"/>
    <mergeCell ref="C2:Q2"/>
    <mergeCell ref="B3:Q3"/>
    <mergeCell ref="F4:J4"/>
    <mergeCell ref="K4:M4"/>
    <mergeCell ref="N4:Q4"/>
    <mergeCell ref="A4:E4"/>
    <mergeCell ref="A5:E5"/>
    <mergeCell ref="F5:J5"/>
    <mergeCell ref="K5:M5"/>
    <mergeCell ref="N5:O5"/>
    <mergeCell ref="P5:Q5"/>
    <mergeCell ref="N6:Q6"/>
    <mergeCell ref="F8:J8"/>
    <mergeCell ref="F9:J9"/>
    <mergeCell ref="K9:M9"/>
    <mergeCell ref="N9:Q9"/>
    <mergeCell ref="C10:N10"/>
    <mergeCell ref="O10:Q10"/>
    <mergeCell ref="C11:N11"/>
    <mergeCell ref="O11:Q11"/>
    <mergeCell ref="F6:J6"/>
    <mergeCell ref="K6:M6"/>
    <mergeCell ref="F7:J7"/>
    <mergeCell ref="K7:M7"/>
    <mergeCell ref="N7:Q7"/>
    <mergeCell ref="K8:M8"/>
    <mergeCell ref="N8:Q8"/>
    <mergeCell ref="A6:E6"/>
    <mergeCell ref="A7:E7"/>
    <mergeCell ref="A8:E8"/>
    <mergeCell ref="A9:E9"/>
    <mergeCell ref="A10:B12"/>
    <mergeCell ref="A13:B13"/>
    <mergeCell ref="A14:B14"/>
    <mergeCell ref="A15:B15"/>
    <mergeCell ref="A16:B16"/>
    <mergeCell ref="A17:B17"/>
    <mergeCell ref="A18:B18"/>
    <mergeCell ref="A19:B19"/>
    <mergeCell ref="I22:L22"/>
    <mergeCell ref="N22:Q22"/>
    <mergeCell ref="A22:G22"/>
    <mergeCell ref="B23:C23"/>
    <mergeCell ref="D23:G23"/>
    <mergeCell ref="B24:C24"/>
    <mergeCell ref="D24:G24"/>
    <mergeCell ref="B25:C25"/>
    <mergeCell ref="D25:G25"/>
    <mergeCell ref="D51:G51"/>
    <mergeCell ref="D52:G52"/>
    <mergeCell ref="D44:G44"/>
    <mergeCell ref="D45:G45"/>
    <mergeCell ref="D46:G46"/>
    <mergeCell ref="D47:G47"/>
    <mergeCell ref="D48:G48"/>
    <mergeCell ref="D49:G49"/>
    <mergeCell ref="D50:G50"/>
    <mergeCell ref="D43:G43"/>
    <mergeCell ref="B43:C43"/>
    <mergeCell ref="B44:C44"/>
    <mergeCell ref="B45:C45"/>
    <mergeCell ref="B46:C46"/>
    <mergeCell ref="B47:C47"/>
    <mergeCell ref="B48:C48"/>
    <mergeCell ref="B49:C49"/>
    <mergeCell ref="B26:C26"/>
    <mergeCell ref="B65:C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B71:C71"/>
    <mergeCell ref="D71:G71"/>
    <mergeCell ref="D72:G72"/>
    <mergeCell ref="B72:C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  <mergeCell ref="D79:G79"/>
    <mergeCell ref="B79:C79"/>
    <mergeCell ref="B80:C80"/>
    <mergeCell ref="D80:G80"/>
    <mergeCell ref="B81:C81"/>
    <mergeCell ref="D81:G81"/>
    <mergeCell ref="B82:C82"/>
    <mergeCell ref="D82:G82"/>
    <mergeCell ref="B83:C83"/>
    <mergeCell ref="D83:G83"/>
    <mergeCell ref="B84:C84"/>
    <mergeCell ref="D84:G84"/>
    <mergeCell ref="B90:C90"/>
    <mergeCell ref="D90:G90"/>
    <mergeCell ref="B91:C91"/>
    <mergeCell ref="D91:G91"/>
    <mergeCell ref="B92:C92"/>
    <mergeCell ref="D92:G92"/>
    <mergeCell ref="D93:G93"/>
    <mergeCell ref="B85:C85"/>
    <mergeCell ref="D85:G85"/>
    <mergeCell ref="D86:G86"/>
    <mergeCell ref="B86:C86"/>
    <mergeCell ref="B87:C87"/>
    <mergeCell ref="D87:G87"/>
    <mergeCell ref="B88:C88"/>
    <mergeCell ref="D88:G88"/>
    <mergeCell ref="B89:C89"/>
    <mergeCell ref="D89:G89"/>
  </mergeCells>
  <dataValidations count="1">
    <dataValidation type="list" allowBlank="1" showErrorMessage="1" sqref="O24:P24 O25:Q32 O33:P33 O34:Q40">
      <formula1>$A$13:$A$18</formula1>
    </dataValidation>
  </dataValidations>
  <printOptions horizontalCentered="1"/>
  <pageMargins left="0.23622047244094491" right="0.23622047244094491" top="0.74803149606299213" bottom="0.74803149606299213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00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7.42578125" customWidth="1"/>
    <col min="2" max="2" width="13.42578125" customWidth="1"/>
    <col min="3" max="3" width="37.5703125" customWidth="1"/>
    <col min="4" max="20" width="7.42578125" customWidth="1"/>
    <col min="21" max="21" width="3.7109375" customWidth="1"/>
    <col min="22" max="38" width="7.42578125" customWidth="1"/>
    <col min="39" max="39" width="3.7109375" customWidth="1"/>
    <col min="40" max="56" width="7.42578125" customWidth="1"/>
    <col min="57" max="57" width="3.7109375" customWidth="1"/>
    <col min="58" max="58" width="7.42578125" customWidth="1"/>
  </cols>
  <sheetData>
    <row r="1" spans="1:58" ht="18" customHeight="1">
      <c r="A1" s="1"/>
      <c r="B1" s="1"/>
      <c r="C1" s="161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8" customHeight="1">
      <c r="A2" s="1"/>
      <c r="B2" s="1"/>
      <c r="C2" s="153" t="s">
        <v>1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8" customHeight="1">
      <c r="A4" s="129" t="s">
        <v>8</v>
      </c>
      <c r="B4" s="128"/>
      <c r="C4" s="158"/>
      <c r="D4" s="162" t="s">
        <v>14</v>
      </c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58"/>
      <c r="U4" s="149"/>
      <c r="V4" s="163" t="s">
        <v>18</v>
      </c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58"/>
      <c r="AM4" s="149"/>
      <c r="AN4" s="163" t="s">
        <v>23</v>
      </c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6"/>
      <c r="BE4" s="165"/>
      <c r="BF4" s="168" t="s">
        <v>28</v>
      </c>
    </row>
    <row r="5" spans="1:58" ht="18" customHeight="1">
      <c r="A5" s="129" t="s">
        <v>27</v>
      </c>
      <c r="B5" s="128"/>
      <c r="C5" s="158"/>
      <c r="D5" s="7" t="str">
        <f>IF('Course Information'!$O$24="","",'Course Information'!$O$24)</f>
        <v/>
      </c>
      <c r="E5" s="7" t="str">
        <f>IF('Course Information'!$O$25="","",'Course Information'!$O$25)</f>
        <v/>
      </c>
      <c r="F5" s="7" t="str">
        <f>IF('Course Information'!$O$26="","",'Course Information'!$O$26)</f>
        <v/>
      </c>
      <c r="G5" s="7" t="str">
        <f>IF('Course Information'!$O$27="","",'Course Information'!$O$27)</f>
        <v/>
      </c>
      <c r="H5" s="7" t="str">
        <f>IF('Course Information'!$O$28="","",'Course Information'!$O$28)</f>
        <v/>
      </c>
      <c r="I5" s="7" t="str">
        <f>IF('Course Information'!$O$29="","",'Course Information'!$O$29)</f>
        <v/>
      </c>
      <c r="J5" s="7" t="str">
        <f>IF('Course Information'!$O$30="","",'Course Information'!$O$30)</f>
        <v/>
      </c>
      <c r="K5" s="7" t="str">
        <f>IF('Course Information'!$O$31="","",'Course Information'!$O$31)</f>
        <v/>
      </c>
      <c r="L5" s="7" t="str">
        <f>IF('Course Information'!$O$32="","",'Course Information'!$O$32)</f>
        <v/>
      </c>
      <c r="M5" s="7" t="str">
        <f>IF('Course Information'!$O$33="","",'Course Information'!$O$33)</f>
        <v/>
      </c>
      <c r="N5" s="7" t="str">
        <f>IF('Course Information'!$O$34="","",'Course Information'!$O$34)</f>
        <v/>
      </c>
      <c r="O5" s="7" t="str">
        <f>IF('Course Information'!$O$35="","",'Course Information'!$O$35)</f>
        <v/>
      </c>
      <c r="P5" s="7" t="str">
        <f>IF('Course Information'!$O$36="","",'Course Information'!$O$36)</f>
        <v/>
      </c>
      <c r="Q5" s="7" t="str">
        <f>IF('Course Information'!$O$37="","",'Course Information'!$O$37)</f>
        <v/>
      </c>
      <c r="R5" s="7" t="str">
        <f>IF('Course Information'!$O$38="","",'Course Information'!$O$38)</f>
        <v/>
      </c>
      <c r="S5" s="7" t="str">
        <f>IF('Course Information'!$O$39="","",'Course Information'!$O$39)</f>
        <v/>
      </c>
      <c r="T5" s="7" t="str">
        <f>IF('Course Information'!$O$40="","",'Course Information'!$O$40)</f>
        <v/>
      </c>
      <c r="U5" s="150"/>
      <c r="V5" s="7" t="str">
        <f>IF('Course Information'!$P$24="","",'Course Information'!$P$24)</f>
        <v/>
      </c>
      <c r="W5" s="7" t="str">
        <f>IF('Course Information'!$P$25="","",'Course Information'!$P$25)</f>
        <v/>
      </c>
      <c r="X5" s="7" t="str">
        <f>IF('Course Information'!$P$26="","",'Course Information'!$P$26)</f>
        <v/>
      </c>
      <c r="Y5" s="7" t="str">
        <f>IF('Course Information'!$P$27="","",'Course Information'!$P$27)</f>
        <v/>
      </c>
      <c r="Z5" s="7" t="str">
        <f>IF('Course Information'!$P$28="","",'Course Information'!$P$28)</f>
        <v/>
      </c>
      <c r="AA5" s="7" t="str">
        <f>IF('Course Information'!$P$29="","",'Course Information'!$P$29)</f>
        <v/>
      </c>
      <c r="AB5" s="7" t="str">
        <f>IF('Course Information'!$P$30="","",'Course Information'!$P$30)</f>
        <v/>
      </c>
      <c r="AC5" s="7" t="str">
        <f>IF('Course Information'!$P$31="","",'Course Information'!$P$31)</f>
        <v/>
      </c>
      <c r="AD5" s="7" t="str">
        <f>IF('Course Information'!$P$32="","",'Course Information'!$P$32)</f>
        <v/>
      </c>
      <c r="AE5" s="7" t="str">
        <f>IF('Course Information'!$P$33="","",'Course Information'!$P$33)</f>
        <v/>
      </c>
      <c r="AF5" s="7" t="str">
        <f>IF('Course Information'!$P$34="","",'Course Information'!$P$34)</f>
        <v/>
      </c>
      <c r="AG5" s="7" t="str">
        <f>IF('Course Information'!$P$35="","",'Course Information'!$P$35)</f>
        <v/>
      </c>
      <c r="AH5" s="7" t="str">
        <f>IF('Course Information'!$P$36="","",'Course Information'!$P$36)</f>
        <v/>
      </c>
      <c r="AI5" s="7" t="str">
        <f>IF('Course Information'!$P$37="","",'Course Information'!$P$37)</f>
        <v/>
      </c>
      <c r="AJ5" s="7" t="str">
        <f>IF('Course Information'!$P$38="","",'Course Information'!$P$38)</f>
        <v/>
      </c>
      <c r="AK5" s="7" t="str">
        <f>IF('Course Information'!$P$39="","",'Course Information'!$P$39)</f>
        <v/>
      </c>
      <c r="AL5" s="18" t="str">
        <f>IF('Course Information'!$P$40="","",'Course Information'!$P$40)</f>
        <v/>
      </c>
      <c r="AM5" s="150"/>
      <c r="AN5" s="169" t="str">
        <f>IF('Course Information'!$Q$24="","",'Course Information'!$Q$24)</f>
        <v>RT1</v>
      </c>
      <c r="AO5" s="128"/>
      <c r="AP5" s="128"/>
      <c r="AQ5" s="128"/>
      <c r="AR5" s="128"/>
      <c r="AS5" s="128"/>
      <c r="AT5" s="128"/>
      <c r="AU5" s="128"/>
      <c r="AV5" s="126"/>
      <c r="AW5" s="169" t="str">
        <f>IF('Course Information'!$Q$33="","",'Course Information'!$Q$33)</f>
        <v>RT2</v>
      </c>
      <c r="AX5" s="128"/>
      <c r="AY5" s="128"/>
      <c r="AZ5" s="128"/>
      <c r="BA5" s="128"/>
      <c r="BB5" s="128"/>
      <c r="BC5" s="128"/>
      <c r="BD5" s="126"/>
      <c r="BE5" s="166"/>
      <c r="BF5" s="150"/>
    </row>
    <row r="6" spans="1:58" ht="18" customHeight="1">
      <c r="A6" s="129" t="s">
        <v>70</v>
      </c>
      <c r="B6" s="128"/>
      <c r="C6" s="158"/>
      <c r="D6" s="11" t="str">
        <f>'Course Information'!$I$24</f>
        <v>1a / 2a</v>
      </c>
      <c r="E6" s="11" t="str">
        <f>'Course Information'!$I$25</f>
        <v>1b / 2b</v>
      </c>
      <c r="F6" s="11" t="str">
        <f>'Course Information'!$I$26</f>
        <v>1c / 2c</v>
      </c>
      <c r="G6" s="11" t="str">
        <f>'Course Information'!$I$27</f>
        <v>3a / 4a</v>
      </c>
      <c r="H6" s="11" t="str">
        <f>'Course Information'!$I$28</f>
        <v>3b / 4b</v>
      </c>
      <c r="I6" s="11" t="str">
        <f>'Course Information'!$I$29</f>
        <v>3c / 4c</v>
      </c>
      <c r="J6" s="11" t="str">
        <f>'Course Information'!$I$30</f>
        <v>5a / 6a</v>
      </c>
      <c r="K6" s="11" t="str">
        <f>'Course Information'!$I$31</f>
        <v>5b / 6b</v>
      </c>
      <c r="L6" s="11" t="str">
        <f>'Course Information'!$I$32</f>
        <v>5c / 6c</v>
      </c>
      <c r="M6" s="11">
        <f>'Course Information'!$I$33</f>
        <v>0</v>
      </c>
      <c r="N6" s="11" t="s">
        <v>75</v>
      </c>
      <c r="O6" s="11">
        <f>'Course Information'!$I$35</f>
        <v>0</v>
      </c>
      <c r="P6" s="19" t="str">
        <f>'Course Information'!$I$36</f>
        <v>LAB CIE</v>
      </c>
      <c r="Q6" s="19" t="str">
        <f>'Course Information'!$I$37</f>
        <v>LAB CIE</v>
      </c>
      <c r="R6" s="19" t="str">
        <f>'Course Information'!$I$38</f>
        <v>LAB IA</v>
      </c>
      <c r="S6" s="19" t="str">
        <f>'Course Information'!$I$39</f>
        <v>LAB IA</v>
      </c>
      <c r="T6" s="19" t="str">
        <f>'Course Information'!$I$40</f>
        <v>CCE</v>
      </c>
      <c r="U6" s="150"/>
      <c r="V6" s="11" t="str">
        <f>'Course Information'!$I$24</f>
        <v>1a / 2a</v>
      </c>
      <c r="W6" s="11" t="str">
        <f>'Course Information'!$I$25</f>
        <v>1b / 2b</v>
      </c>
      <c r="X6" s="11" t="str">
        <f>'Course Information'!$I$26</f>
        <v>1c / 2c</v>
      </c>
      <c r="Y6" s="11" t="str">
        <f>'Course Information'!$I$27</f>
        <v>3a / 4a</v>
      </c>
      <c r="Z6" s="11" t="str">
        <f>'Course Information'!$I$28</f>
        <v>3b / 4b</v>
      </c>
      <c r="AA6" s="11" t="str">
        <f>'Course Information'!$I$29</f>
        <v>3c / 4c</v>
      </c>
      <c r="AB6" s="11" t="str">
        <f>'Course Information'!$I$30</f>
        <v>5a / 6a</v>
      </c>
      <c r="AC6" s="11" t="str">
        <f>'Course Information'!$I$31</f>
        <v>5b / 6b</v>
      </c>
      <c r="AD6" s="11" t="str">
        <f>'Course Information'!$I$32</f>
        <v>5c / 6c</v>
      </c>
      <c r="AE6" s="11">
        <f>'Course Information'!$I$33</f>
        <v>0</v>
      </c>
      <c r="AF6" s="11" t="s">
        <v>75</v>
      </c>
      <c r="AG6" s="11">
        <f>'Course Information'!$I$35</f>
        <v>0</v>
      </c>
      <c r="AH6" s="19" t="str">
        <f>'Course Information'!$I$36</f>
        <v>LAB CIE</v>
      </c>
      <c r="AI6" s="19" t="str">
        <f>'Course Information'!$I$37</f>
        <v>LAB CIE</v>
      </c>
      <c r="AJ6" s="19" t="str">
        <f>'Course Information'!$I$38</f>
        <v>LAB IA</v>
      </c>
      <c r="AK6" s="19" t="str">
        <f>'Course Information'!$I$39</f>
        <v>LAB IA</v>
      </c>
      <c r="AL6" s="19" t="str">
        <f>'Course Information'!$I$40</f>
        <v>CCE</v>
      </c>
      <c r="AM6" s="150"/>
      <c r="AN6" s="11" t="str">
        <f>'Course Information'!$I$24</f>
        <v>1a / 2a</v>
      </c>
      <c r="AO6" s="11" t="str">
        <f>'Course Information'!$I$25</f>
        <v>1b / 2b</v>
      </c>
      <c r="AP6" s="11" t="str">
        <f>'Course Information'!$I$26</f>
        <v>1c / 2c</v>
      </c>
      <c r="AQ6" s="11" t="str">
        <f>'Course Information'!$I$27</f>
        <v>3a / 4a</v>
      </c>
      <c r="AR6" s="11" t="str">
        <f>'Course Information'!$I$28</f>
        <v>3b / 4b</v>
      </c>
      <c r="AS6" s="11" t="str">
        <f>'Course Information'!$I$29</f>
        <v>3c / 4c</v>
      </c>
      <c r="AT6" s="11"/>
      <c r="AU6" s="11"/>
      <c r="AV6" s="11"/>
      <c r="AW6" s="11" t="str">
        <f>'Course Information'!$I$24</f>
        <v>1a / 2a</v>
      </c>
      <c r="AX6" s="11" t="str">
        <f>'Course Information'!$I$25</f>
        <v>1b / 2b</v>
      </c>
      <c r="AY6" s="11" t="str">
        <f>'Course Information'!$I$26</f>
        <v>1c / 2c</v>
      </c>
      <c r="AZ6" s="11" t="str">
        <f>'Course Information'!$I$27</f>
        <v>3a / 4a</v>
      </c>
      <c r="BA6" s="11" t="str">
        <f>'Course Information'!$I$28</f>
        <v>3b / 4b</v>
      </c>
      <c r="BB6" s="11" t="str">
        <f>'Course Information'!$I$29</f>
        <v>3c / 4c</v>
      </c>
      <c r="BC6" s="19"/>
      <c r="BD6" s="19"/>
      <c r="BE6" s="166"/>
      <c r="BF6" s="151"/>
    </row>
    <row r="7" spans="1:58" ht="18" customHeight="1">
      <c r="A7" s="21"/>
      <c r="B7" s="21" t="s">
        <v>58</v>
      </c>
      <c r="C7" s="22" t="s">
        <v>59</v>
      </c>
      <c r="D7" s="7" t="str">
        <f>IF('Course Information'!$J$24="","",'Course Information'!$J$24)</f>
        <v/>
      </c>
      <c r="E7" s="7" t="str">
        <f>IF('Course Information'!$J$25="","",'Course Information'!$J$25)</f>
        <v/>
      </c>
      <c r="F7" s="7" t="str">
        <f>IF('Course Information'!$J$26="","",'Course Information'!$J$26)</f>
        <v/>
      </c>
      <c r="G7" s="7" t="str">
        <f>IF('Course Information'!$J$27="","",'Course Information'!$J$27)</f>
        <v/>
      </c>
      <c r="H7" s="7" t="str">
        <f>IF('Course Information'!$J$28="","",'Course Information'!$J$28)</f>
        <v/>
      </c>
      <c r="I7" s="7" t="str">
        <f>IF('Course Information'!$J$29="","",'Course Information'!$J$29)</f>
        <v/>
      </c>
      <c r="J7" s="7" t="str">
        <f>IF('Course Information'!$J$30="","",'Course Information'!$J$30)</f>
        <v/>
      </c>
      <c r="K7" s="7" t="str">
        <f>IF('Course Information'!$J$31="","",'Course Information'!$J$31)</f>
        <v/>
      </c>
      <c r="L7" s="7" t="str">
        <f>IF('Course Information'!$J$32="","",'Course Information'!$J$32)</f>
        <v/>
      </c>
      <c r="M7" s="7" t="str">
        <f>IF('Course Information'!$J$33="","",'Course Information'!$J$33)</f>
        <v/>
      </c>
      <c r="N7" s="7" t="str">
        <f>IF('Course Information'!$J$34="","",'Course Information'!$J$34)</f>
        <v/>
      </c>
      <c r="O7" s="7" t="str">
        <f>IF('Course Information'!$J$35="","",'Course Information'!$J$35)</f>
        <v/>
      </c>
      <c r="P7" s="7" t="str">
        <f>IF('Course Information'!$J$36="","",'Course Information'!$J$36)</f>
        <v/>
      </c>
      <c r="Q7" s="7" t="str">
        <f>IF('Course Information'!$J$37="","",'Course Information'!$J$37)</f>
        <v/>
      </c>
      <c r="R7" s="7" t="str">
        <f>IF('Course Information'!$J$38="","",'Course Information'!$J$38)</f>
        <v/>
      </c>
      <c r="S7" s="7" t="str">
        <f>IF('Course Information'!$J$39="","",'Course Information'!$J$39)</f>
        <v/>
      </c>
      <c r="T7" s="7" t="str">
        <f>IF('Course Information'!$J$40="","",'Course Information'!$J$40)</f>
        <v/>
      </c>
      <c r="U7" s="150"/>
      <c r="V7" s="7" t="str">
        <f>IF('Course Information'!$K$24="","",'Course Information'!$K$24)</f>
        <v/>
      </c>
      <c r="W7" s="7" t="str">
        <f>IF('Course Information'!$K$25="","",'Course Information'!$K$25)</f>
        <v/>
      </c>
      <c r="X7" s="7" t="str">
        <f>IF('Course Information'!$K$26="","",'Course Information'!$K$26)</f>
        <v/>
      </c>
      <c r="Y7" s="7" t="str">
        <f>IF('Course Information'!$K$27="","",'Course Information'!$K$27)</f>
        <v/>
      </c>
      <c r="Z7" s="7" t="str">
        <f>IF('Course Information'!$K$28="","",'Course Information'!$K$28)</f>
        <v/>
      </c>
      <c r="AA7" s="7" t="str">
        <f>IF('Course Information'!$K$29="","",'Course Information'!$K$29)</f>
        <v/>
      </c>
      <c r="AB7" s="7" t="str">
        <f>IF('Course Information'!$K$30="","",'Course Information'!$K$30)</f>
        <v/>
      </c>
      <c r="AC7" s="7" t="str">
        <f>IF('Course Information'!$K$31="","",'Course Information'!$K$31)</f>
        <v/>
      </c>
      <c r="AD7" s="7" t="str">
        <f>IF('Course Information'!$K$32="","",'Course Information'!$K$32)</f>
        <v/>
      </c>
      <c r="AE7" s="7" t="str">
        <f>IF('Course Information'!$K$33="","",'Course Information'!$K$33)</f>
        <v/>
      </c>
      <c r="AF7" s="7" t="str">
        <f>IF('Course Information'!$K$34="","",'Course Information'!$K$34)</f>
        <v/>
      </c>
      <c r="AG7" s="7" t="str">
        <f>IF('Course Information'!$K$35="","",'Course Information'!$K$35)</f>
        <v/>
      </c>
      <c r="AH7" s="7" t="str">
        <f>IF('Course Information'!$K$36="","",'Course Information'!$K$36)</f>
        <v/>
      </c>
      <c r="AI7" s="7" t="str">
        <f>IF('Course Information'!$K$37="","",'Course Information'!$K$37)</f>
        <v/>
      </c>
      <c r="AJ7" s="7" t="str">
        <f>IF('Course Information'!$K$38="","",'Course Information'!$K$38)</f>
        <v/>
      </c>
      <c r="AK7" s="7" t="str">
        <f>IF('Course Information'!$K$39="","",'Course Information'!$K$39)</f>
        <v/>
      </c>
      <c r="AL7" s="18" t="str">
        <f>IF('Course Information'!$K$40="","",'Course Information'!$K$40)</f>
        <v/>
      </c>
      <c r="AM7" s="150"/>
      <c r="AN7" s="7" t="str">
        <f>IF('Course Information'!$L$24="","",'Course Information'!$L$24)</f>
        <v/>
      </c>
      <c r="AO7" s="7" t="str">
        <f>IF('Course Information'!$L$25="","",'Course Information'!$L$25)</f>
        <v/>
      </c>
      <c r="AP7" s="7" t="str">
        <f>IF('Course Information'!$L$26="","",'Course Information'!$L$26)</f>
        <v/>
      </c>
      <c r="AQ7" s="7" t="str">
        <f>IF('Course Information'!$L$27="","",'Course Information'!$L$27)</f>
        <v/>
      </c>
      <c r="AR7" s="7" t="str">
        <f>IF('Course Information'!$L$28="","",'Course Information'!$L$28)</f>
        <v/>
      </c>
      <c r="AS7" s="7" t="str">
        <f>IF('Course Information'!$L$29="","",'Course Information'!$L$29)</f>
        <v/>
      </c>
      <c r="AT7" s="7" t="str">
        <f>IF('Course Information'!$L$30="","",'Course Information'!$L$30)</f>
        <v/>
      </c>
      <c r="AU7" s="7" t="str">
        <f>IF('Course Information'!$L$31="","",'Course Information'!$L$31)</f>
        <v/>
      </c>
      <c r="AV7" s="7" t="str">
        <f>IF('Course Information'!$L$32="","",'Course Information'!$L$32)</f>
        <v>RT2</v>
      </c>
      <c r="AW7" s="7" t="str">
        <f>IF('Course Information'!$L$33="","",'Course Information'!$L$33)</f>
        <v/>
      </c>
      <c r="AX7" s="7" t="str">
        <f>IF('Course Information'!$L$34="","",'Course Information'!$L$34)</f>
        <v/>
      </c>
      <c r="AY7" s="7" t="str">
        <f>IF('Course Information'!$L$35="","",'Course Information'!$L$35)</f>
        <v/>
      </c>
      <c r="AZ7" s="7" t="str">
        <f>IF('Course Information'!$L$36="","",'Course Information'!$L$36)</f>
        <v/>
      </c>
      <c r="BA7" s="7" t="str">
        <f>IF('Course Information'!$L$37="","",'Course Information'!$L$37)</f>
        <v/>
      </c>
      <c r="BB7" s="7" t="str">
        <f>IF('Course Information'!$L$38="","",'Course Information'!$L$38)</f>
        <v/>
      </c>
      <c r="BC7" s="7" t="str">
        <f>IF('Course Information'!$L$39="","",'Course Information'!$L$39)</f>
        <v/>
      </c>
      <c r="BD7" s="7" t="str">
        <f>IF('Course Information'!$L$40="","",'Course Information'!$L$40)</f>
        <v/>
      </c>
      <c r="BE7" s="166"/>
      <c r="BF7" s="14">
        <f>'Course Information'!N9</f>
        <v>50</v>
      </c>
    </row>
    <row r="8" spans="1:58" ht="18" customHeight="1">
      <c r="A8" s="8">
        <v>1</v>
      </c>
      <c r="B8" s="8">
        <f>'Course Information'!B24</f>
        <v>0</v>
      </c>
      <c r="C8" s="4">
        <f>'Course Information'!D24</f>
        <v>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f t="shared" ref="N8:N82" si="0">SUM(D8:L8)</f>
        <v>0</v>
      </c>
      <c r="O8" s="10"/>
      <c r="P8" s="10"/>
      <c r="Q8" s="10"/>
      <c r="R8" s="24"/>
      <c r="S8" s="24"/>
      <c r="T8" s="10"/>
      <c r="U8" s="15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f t="shared" ref="AF8:AF82" si="1">SUM(V8:AD8)</f>
        <v>0</v>
      </c>
      <c r="AG8" s="10"/>
      <c r="AH8" s="10"/>
      <c r="AI8" s="10"/>
      <c r="AJ8" s="25"/>
      <c r="AK8" s="25"/>
      <c r="AL8" s="10"/>
      <c r="AM8" s="15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26"/>
      <c r="BC8" s="26"/>
      <c r="BD8" s="26"/>
      <c r="BE8" s="166"/>
      <c r="BF8" s="27"/>
    </row>
    <row r="9" spans="1:58" ht="18" customHeight="1">
      <c r="A9" s="8">
        <v>2</v>
      </c>
      <c r="B9" s="8">
        <f>'Course Information'!B25</f>
        <v>0</v>
      </c>
      <c r="C9" s="4">
        <f>'Course Information'!D25</f>
        <v>0</v>
      </c>
      <c r="D9" s="10"/>
      <c r="E9" s="10"/>
      <c r="F9" s="10"/>
      <c r="G9" s="10"/>
      <c r="I9" s="10"/>
      <c r="J9" s="10"/>
      <c r="K9" s="10"/>
      <c r="L9" s="10"/>
      <c r="M9" s="10"/>
      <c r="N9" s="10">
        <f t="shared" si="0"/>
        <v>0</v>
      </c>
      <c r="O9" s="10"/>
      <c r="P9" s="10"/>
      <c r="Q9" s="10"/>
      <c r="R9" s="24"/>
      <c r="S9" s="24"/>
      <c r="T9" s="10"/>
      <c r="U9" s="150"/>
      <c r="V9" s="10"/>
      <c r="W9" s="10"/>
      <c r="X9" s="10"/>
      <c r="Y9" s="10"/>
      <c r="AA9" s="10"/>
      <c r="AB9" s="10"/>
      <c r="AC9" s="10"/>
      <c r="AD9" s="10"/>
      <c r="AE9" s="10"/>
      <c r="AF9" s="10">
        <f t="shared" si="1"/>
        <v>0</v>
      </c>
      <c r="AG9" s="10"/>
      <c r="AH9" s="10"/>
      <c r="AI9" s="10"/>
      <c r="AJ9" s="25"/>
      <c r="AK9" s="25"/>
      <c r="AL9" s="10"/>
      <c r="AM9" s="15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26"/>
      <c r="BC9" s="26"/>
      <c r="BD9" s="26"/>
      <c r="BE9" s="166"/>
      <c r="BF9" s="27"/>
    </row>
    <row r="10" spans="1:58" ht="18" customHeight="1">
      <c r="A10" s="8">
        <v>3</v>
      </c>
      <c r="B10" s="8">
        <f>'Course Information'!B26</f>
        <v>0</v>
      </c>
      <c r="C10" s="4">
        <f>'Course Information'!D26</f>
        <v>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f t="shared" si="0"/>
        <v>0</v>
      </c>
      <c r="O10" s="10"/>
      <c r="P10" s="10"/>
      <c r="Q10" s="10"/>
      <c r="R10" s="24"/>
      <c r="S10" s="24"/>
      <c r="T10" s="10"/>
      <c r="U10" s="15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f t="shared" si="1"/>
        <v>0</v>
      </c>
      <c r="AG10" s="10"/>
      <c r="AH10" s="10"/>
      <c r="AI10" s="10"/>
      <c r="AJ10" s="25"/>
      <c r="AK10" s="25"/>
      <c r="AL10" s="10"/>
      <c r="AM10" s="15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26"/>
      <c r="BC10" s="26"/>
      <c r="BD10" s="26"/>
      <c r="BE10" s="166"/>
      <c r="BF10" s="27"/>
    </row>
    <row r="11" spans="1:58" ht="18" customHeight="1">
      <c r="A11" s="8">
        <v>4</v>
      </c>
      <c r="B11" s="8">
        <f>'Course Information'!B27</f>
        <v>0</v>
      </c>
      <c r="C11" s="4">
        <f>'Course Information'!D27</f>
        <v>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f t="shared" si="0"/>
        <v>0</v>
      </c>
      <c r="O11" s="10"/>
      <c r="P11" s="10"/>
      <c r="Q11" s="10"/>
      <c r="R11" s="24"/>
      <c r="S11" s="24"/>
      <c r="T11" s="10"/>
      <c r="U11" s="15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f t="shared" si="1"/>
        <v>0</v>
      </c>
      <c r="AG11" s="10"/>
      <c r="AH11" s="10"/>
      <c r="AI11" s="10"/>
      <c r="AJ11" s="25"/>
      <c r="AK11" s="25"/>
      <c r="AL11" s="10"/>
      <c r="AM11" s="15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26"/>
      <c r="BC11" s="26"/>
      <c r="BD11" s="26"/>
      <c r="BE11" s="166"/>
      <c r="BF11" s="27"/>
    </row>
    <row r="12" spans="1:58" ht="18" customHeight="1">
      <c r="A12" s="8">
        <v>5</v>
      </c>
      <c r="B12" s="8">
        <f>'Course Information'!B28</f>
        <v>0</v>
      </c>
      <c r="C12" s="4">
        <f>'Course Information'!D28</f>
        <v>0</v>
      </c>
      <c r="D12" s="10"/>
      <c r="E12" s="10"/>
      <c r="F12" s="10"/>
      <c r="G12" s="10"/>
      <c r="I12" s="10"/>
      <c r="J12" s="10"/>
      <c r="K12" s="10"/>
      <c r="L12" s="10"/>
      <c r="M12" s="10"/>
      <c r="N12" s="10">
        <f t="shared" si="0"/>
        <v>0</v>
      </c>
      <c r="O12" s="10"/>
      <c r="P12" s="10"/>
      <c r="Q12" s="10"/>
      <c r="R12" s="24"/>
      <c r="S12" s="24"/>
      <c r="T12" s="10"/>
      <c r="U12" s="150"/>
      <c r="V12" s="10"/>
      <c r="W12" s="10"/>
      <c r="X12" s="10"/>
      <c r="Y12" s="10"/>
      <c r="AA12" s="10"/>
      <c r="AB12" s="10"/>
      <c r="AC12" s="10"/>
      <c r="AD12" s="10"/>
      <c r="AE12" s="10"/>
      <c r="AF12" s="10">
        <f t="shared" si="1"/>
        <v>0</v>
      </c>
      <c r="AG12" s="10"/>
      <c r="AH12" s="10"/>
      <c r="AI12" s="10"/>
      <c r="AJ12" s="25"/>
      <c r="AK12" s="25"/>
      <c r="AL12" s="10"/>
      <c r="AM12" s="15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26"/>
      <c r="BC12" s="26"/>
      <c r="BD12" s="26"/>
      <c r="BE12" s="166"/>
      <c r="BF12" s="27"/>
    </row>
    <row r="13" spans="1:58" ht="18" customHeight="1">
      <c r="A13" s="8">
        <v>6</v>
      </c>
      <c r="B13" s="8">
        <f>'Course Information'!B29</f>
        <v>0</v>
      </c>
      <c r="C13" s="4">
        <f>'Course Information'!D29</f>
        <v>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>
        <f t="shared" si="0"/>
        <v>0</v>
      </c>
      <c r="O13" s="10"/>
      <c r="P13" s="10"/>
      <c r="Q13" s="10"/>
      <c r="R13" s="24"/>
      <c r="S13" s="24"/>
      <c r="T13" s="10"/>
      <c r="U13" s="15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f t="shared" si="1"/>
        <v>0</v>
      </c>
      <c r="AG13" s="10"/>
      <c r="AH13" s="10"/>
      <c r="AI13" s="10"/>
      <c r="AJ13" s="25"/>
      <c r="AK13" s="25"/>
      <c r="AL13" s="10"/>
      <c r="AM13" s="15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26"/>
      <c r="BC13" s="26"/>
      <c r="BD13" s="26"/>
      <c r="BE13" s="166"/>
      <c r="BF13" s="27"/>
    </row>
    <row r="14" spans="1:58" ht="18" customHeight="1">
      <c r="A14" s="8">
        <v>7</v>
      </c>
      <c r="B14" s="8">
        <f>'Course Information'!B30</f>
        <v>0</v>
      </c>
      <c r="C14" s="4">
        <f>'Course Information'!D30</f>
        <v>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>
        <f t="shared" si="0"/>
        <v>0</v>
      </c>
      <c r="O14" s="10"/>
      <c r="P14" s="10"/>
      <c r="Q14" s="10"/>
      <c r="R14" s="24"/>
      <c r="S14" s="24"/>
      <c r="T14" s="10"/>
      <c r="U14" s="15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f t="shared" si="1"/>
        <v>0</v>
      </c>
      <c r="AG14" s="10"/>
      <c r="AH14" s="10"/>
      <c r="AI14" s="10"/>
      <c r="AJ14" s="25"/>
      <c r="AK14" s="28"/>
      <c r="AL14" s="10"/>
      <c r="AM14" s="15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26"/>
      <c r="BC14" s="26"/>
      <c r="BD14" s="26"/>
      <c r="BE14" s="166"/>
      <c r="BF14" s="27"/>
    </row>
    <row r="15" spans="1:58" ht="18" customHeight="1">
      <c r="A15" s="8">
        <v>8</v>
      </c>
      <c r="B15" s="8">
        <f>'Course Information'!B31</f>
        <v>0</v>
      </c>
      <c r="C15" s="4">
        <f>'Course Information'!D31</f>
        <v>0</v>
      </c>
      <c r="D15" s="10"/>
      <c r="E15" s="10"/>
      <c r="F15" s="10"/>
      <c r="G15" s="10"/>
      <c r="I15" s="10"/>
      <c r="J15" s="10"/>
      <c r="K15" s="10"/>
      <c r="L15" s="10"/>
      <c r="M15" s="10"/>
      <c r="N15" s="10">
        <f t="shared" si="0"/>
        <v>0</v>
      </c>
      <c r="O15" s="10"/>
      <c r="P15" s="10"/>
      <c r="Q15" s="10"/>
      <c r="R15" s="24"/>
      <c r="S15" s="24"/>
      <c r="T15" s="10"/>
      <c r="U15" s="150"/>
      <c r="V15" s="10"/>
      <c r="W15" s="10"/>
      <c r="X15" s="10"/>
      <c r="Y15" s="10"/>
      <c r="AA15" s="10"/>
      <c r="AB15" s="10"/>
      <c r="AC15" s="10"/>
      <c r="AD15" s="10"/>
      <c r="AE15" s="10"/>
      <c r="AF15" s="10">
        <f t="shared" si="1"/>
        <v>0</v>
      </c>
      <c r="AG15" s="10"/>
      <c r="AH15" s="10"/>
      <c r="AI15" s="10"/>
      <c r="AJ15" s="25"/>
      <c r="AK15" s="28"/>
      <c r="AL15" s="10"/>
      <c r="AM15" s="15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26"/>
      <c r="BC15" s="26"/>
      <c r="BD15" s="26"/>
      <c r="BE15" s="166"/>
      <c r="BF15" s="27"/>
    </row>
    <row r="16" spans="1:58" ht="18" customHeight="1">
      <c r="A16" s="8">
        <v>9</v>
      </c>
      <c r="B16" s="8">
        <f>'Course Information'!B32</f>
        <v>0</v>
      </c>
      <c r="C16" s="4">
        <f>'Course Information'!D32</f>
        <v>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>
        <f t="shared" si="0"/>
        <v>0</v>
      </c>
      <c r="O16" s="10"/>
      <c r="P16" s="10"/>
      <c r="Q16" s="10"/>
      <c r="R16" s="24"/>
      <c r="S16" s="24"/>
      <c r="T16" s="10"/>
      <c r="U16" s="15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>
        <f t="shared" si="1"/>
        <v>0</v>
      </c>
      <c r="AG16" s="10"/>
      <c r="AH16" s="10"/>
      <c r="AI16" s="10"/>
      <c r="AJ16" s="25"/>
      <c r="AK16" s="28"/>
      <c r="AL16" s="10"/>
      <c r="AM16" s="15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26"/>
      <c r="BC16" s="26"/>
      <c r="BD16" s="26"/>
      <c r="BE16" s="166"/>
      <c r="BF16" s="27"/>
    </row>
    <row r="17" spans="1:58" ht="18" customHeight="1">
      <c r="A17" s="8">
        <v>10</v>
      </c>
      <c r="B17" s="8">
        <f>'Course Information'!B33</f>
        <v>0</v>
      </c>
      <c r="C17" s="4">
        <f>'Course Information'!D33</f>
        <v>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>
        <f t="shared" si="0"/>
        <v>0</v>
      </c>
      <c r="O17" s="10"/>
      <c r="P17" s="10"/>
      <c r="Q17" s="10"/>
      <c r="R17" s="24"/>
      <c r="S17" s="24"/>
      <c r="T17" s="10"/>
      <c r="U17" s="15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>
        <f t="shared" si="1"/>
        <v>0</v>
      </c>
      <c r="AG17" s="10"/>
      <c r="AH17" s="10"/>
      <c r="AI17" s="10"/>
      <c r="AJ17" s="25"/>
      <c r="AK17" s="25"/>
      <c r="AL17" s="10"/>
      <c r="AM17" s="15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26"/>
      <c r="BC17" s="26"/>
      <c r="BD17" s="26"/>
      <c r="BE17" s="166"/>
      <c r="BF17" s="27"/>
    </row>
    <row r="18" spans="1:58" ht="18" customHeight="1">
      <c r="A18" s="8">
        <v>11</v>
      </c>
      <c r="B18" s="8">
        <f>'Course Information'!B34</f>
        <v>0</v>
      </c>
      <c r="C18" s="4">
        <f>'Course Information'!D34</f>
        <v>0</v>
      </c>
      <c r="D18" s="10"/>
      <c r="E18" s="10"/>
      <c r="F18" s="10"/>
      <c r="G18" s="10"/>
      <c r="I18" s="10"/>
      <c r="J18" s="10"/>
      <c r="K18" s="10"/>
      <c r="L18" s="10"/>
      <c r="M18" s="10"/>
      <c r="N18" s="10">
        <f t="shared" si="0"/>
        <v>0</v>
      </c>
      <c r="O18" s="10"/>
      <c r="P18" s="10"/>
      <c r="Q18" s="10"/>
      <c r="R18" s="24"/>
      <c r="S18" s="24"/>
      <c r="T18" s="10"/>
      <c r="U18" s="150"/>
      <c r="V18" s="10"/>
      <c r="W18" s="10"/>
      <c r="X18" s="10"/>
      <c r="Y18" s="10"/>
      <c r="AA18" s="10"/>
      <c r="AB18" s="10"/>
      <c r="AC18" s="10"/>
      <c r="AD18" s="10"/>
      <c r="AE18" s="10"/>
      <c r="AF18" s="10">
        <f t="shared" si="1"/>
        <v>0</v>
      </c>
      <c r="AG18" s="10"/>
      <c r="AH18" s="10"/>
      <c r="AI18" s="10"/>
      <c r="AJ18" s="25"/>
      <c r="AK18" s="25"/>
      <c r="AL18" s="10"/>
      <c r="AM18" s="15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26"/>
      <c r="BC18" s="26"/>
      <c r="BD18" s="26"/>
      <c r="BE18" s="166"/>
      <c r="BF18" s="27"/>
    </row>
    <row r="19" spans="1:58" ht="18" customHeight="1">
      <c r="A19" s="8">
        <v>12</v>
      </c>
      <c r="B19" s="8">
        <f>'Course Information'!B35</f>
        <v>0</v>
      </c>
      <c r="C19" s="4">
        <f>'Course Information'!D35</f>
        <v>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>
        <f t="shared" si="0"/>
        <v>0</v>
      </c>
      <c r="O19" s="10"/>
      <c r="P19" s="10"/>
      <c r="Q19" s="10"/>
      <c r="R19" s="24"/>
      <c r="S19" s="24"/>
      <c r="T19" s="10"/>
      <c r="U19" s="15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f t="shared" si="1"/>
        <v>0</v>
      </c>
      <c r="AG19" s="10"/>
      <c r="AH19" s="10"/>
      <c r="AI19" s="10"/>
      <c r="AJ19" s="25"/>
      <c r="AK19" s="25"/>
      <c r="AL19" s="10"/>
      <c r="AM19" s="15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26"/>
      <c r="BC19" s="26"/>
      <c r="BD19" s="26"/>
      <c r="BE19" s="166"/>
      <c r="BF19" s="27"/>
    </row>
    <row r="20" spans="1:58" ht="18" customHeight="1">
      <c r="A20" s="8">
        <v>13</v>
      </c>
      <c r="B20" s="8">
        <f>'Course Information'!B36</f>
        <v>0</v>
      </c>
      <c r="C20" s="4">
        <f>'Course Information'!D36</f>
        <v>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f t="shared" si="0"/>
        <v>0</v>
      </c>
      <c r="O20" s="10"/>
      <c r="P20" s="10"/>
      <c r="Q20" s="10"/>
      <c r="R20" s="24"/>
      <c r="S20" s="24"/>
      <c r="T20" s="10"/>
      <c r="U20" s="15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f t="shared" si="1"/>
        <v>0</v>
      </c>
      <c r="AG20" s="10"/>
      <c r="AH20" s="10"/>
      <c r="AI20" s="10"/>
      <c r="AJ20" s="25"/>
      <c r="AK20" s="25"/>
      <c r="AL20" s="10"/>
      <c r="AM20" s="15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26"/>
      <c r="BC20" s="26"/>
      <c r="BD20" s="26"/>
      <c r="BE20" s="166"/>
      <c r="BF20" s="27"/>
    </row>
    <row r="21" spans="1:58" ht="18" customHeight="1">
      <c r="A21" s="8">
        <v>14</v>
      </c>
      <c r="B21" s="8">
        <f>'Course Information'!B37</f>
        <v>0</v>
      </c>
      <c r="C21" s="4">
        <f>'Course Information'!D37</f>
        <v>0</v>
      </c>
      <c r="D21" s="10"/>
      <c r="E21" s="10"/>
      <c r="F21" s="10"/>
      <c r="G21" s="10"/>
      <c r="I21" s="10"/>
      <c r="J21" s="10"/>
      <c r="K21" s="10"/>
      <c r="L21" s="10"/>
      <c r="M21" s="10"/>
      <c r="N21" s="10">
        <f t="shared" si="0"/>
        <v>0</v>
      </c>
      <c r="O21" s="10"/>
      <c r="P21" s="10"/>
      <c r="Q21" s="10"/>
      <c r="R21" s="24"/>
      <c r="S21" s="24"/>
      <c r="T21" s="10"/>
      <c r="U21" s="150"/>
      <c r="V21" s="10"/>
      <c r="W21" s="10"/>
      <c r="X21" s="10"/>
      <c r="Y21" s="10"/>
      <c r="AA21" s="10"/>
      <c r="AB21" s="10"/>
      <c r="AC21" s="10"/>
      <c r="AD21" s="10"/>
      <c r="AE21" s="10"/>
      <c r="AF21" s="10">
        <f t="shared" si="1"/>
        <v>0</v>
      </c>
      <c r="AG21" s="10"/>
      <c r="AH21" s="10"/>
      <c r="AI21" s="10"/>
      <c r="AJ21" s="25"/>
      <c r="AK21" s="25"/>
      <c r="AL21" s="10"/>
      <c r="AM21" s="15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26"/>
      <c r="BC21" s="26"/>
      <c r="BD21" s="26"/>
      <c r="BE21" s="166"/>
      <c r="BF21" s="27"/>
    </row>
    <row r="22" spans="1:58" ht="18" customHeight="1">
      <c r="A22" s="8">
        <v>15</v>
      </c>
      <c r="B22" s="8">
        <f>'Course Information'!B38</f>
        <v>0</v>
      </c>
      <c r="C22" s="4">
        <f>'Course Information'!D38</f>
        <v>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>
        <f t="shared" si="0"/>
        <v>0</v>
      </c>
      <c r="O22" s="10"/>
      <c r="P22" s="10"/>
      <c r="Q22" s="10"/>
      <c r="R22" s="24"/>
      <c r="S22" s="24"/>
      <c r="T22" s="10"/>
      <c r="U22" s="15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>
        <f t="shared" si="1"/>
        <v>0</v>
      </c>
      <c r="AG22" s="10"/>
      <c r="AH22" s="10"/>
      <c r="AI22" s="10"/>
      <c r="AJ22" s="25"/>
      <c r="AK22" s="25"/>
      <c r="AL22" s="10"/>
      <c r="AM22" s="15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26"/>
      <c r="BC22" s="26"/>
      <c r="BD22" s="26"/>
      <c r="BE22" s="166"/>
      <c r="BF22" s="27"/>
    </row>
    <row r="23" spans="1:58" ht="18" customHeight="1">
      <c r="A23" s="8">
        <v>16</v>
      </c>
      <c r="B23" s="8">
        <f>'Course Information'!B39</f>
        <v>0</v>
      </c>
      <c r="C23" s="4">
        <f>'Course Information'!D39</f>
        <v>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>
        <f t="shared" si="0"/>
        <v>0</v>
      </c>
      <c r="O23" s="10"/>
      <c r="P23" s="10"/>
      <c r="Q23" s="10"/>
      <c r="R23" s="24"/>
      <c r="S23" s="24"/>
      <c r="T23" s="10"/>
      <c r="U23" s="15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f t="shared" si="1"/>
        <v>0</v>
      </c>
      <c r="AG23" s="10"/>
      <c r="AH23" s="10"/>
      <c r="AI23" s="10"/>
      <c r="AJ23" s="25"/>
      <c r="AK23" s="25"/>
      <c r="AL23" s="10"/>
      <c r="AM23" s="15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26"/>
      <c r="BC23" s="26"/>
      <c r="BD23" s="26"/>
      <c r="BE23" s="166"/>
      <c r="BF23" s="27"/>
    </row>
    <row r="24" spans="1:58" ht="18" customHeight="1">
      <c r="A24" s="8">
        <v>17</v>
      </c>
      <c r="B24" s="8">
        <f>'Course Information'!B40</f>
        <v>0</v>
      </c>
      <c r="C24" s="4">
        <f>'Course Information'!D40</f>
        <v>0</v>
      </c>
      <c r="D24" s="10"/>
      <c r="E24" s="10"/>
      <c r="F24" s="10"/>
      <c r="G24" s="10"/>
      <c r="I24" s="10"/>
      <c r="J24" s="10"/>
      <c r="K24" s="10"/>
      <c r="L24" s="10"/>
      <c r="M24" s="10"/>
      <c r="N24" s="10">
        <f t="shared" si="0"/>
        <v>0</v>
      </c>
      <c r="O24" s="10"/>
      <c r="P24" s="10"/>
      <c r="Q24" s="10"/>
      <c r="R24" s="24"/>
      <c r="S24" s="24"/>
      <c r="T24" s="10"/>
      <c r="U24" s="150"/>
      <c r="V24" s="10"/>
      <c r="W24" s="10"/>
      <c r="X24" s="10"/>
      <c r="Y24" s="10"/>
      <c r="AA24" s="10"/>
      <c r="AB24" s="10"/>
      <c r="AC24" s="10"/>
      <c r="AD24" s="10"/>
      <c r="AE24" s="10"/>
      <c r="AF24" s="10">
        <f t="shared" si="1"/>
        <v>0</v>
      </c>
      <c r="AG24" s="10"/>
      <c r="AH24" s="10"/>
      <c r="AI24" s="10"/>
      <c r="AJ24" s="25"/>
      <c r="AK24" s="25"/>
      <c r="AL24" s="10"/>
      <c r="AM24" s="15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26"/>
      <c r="BC24" s="26"/>
      <c r="BD24" s="26"/>
      <c r="BE24" s="166"/>
      <c r="BF24" s="27"/>
    </row>
    <row r="25" spans="1:58" ht="18" customHeight="1">
      <c r="A25" s="8">
        <v>18</v>
      </c>
      <c r="B25" s="8">
        <f>'Course Information'!B41</f>
        <v>0</v>
      </c>
      <c r="C25" s="4">
        <f>'Course Information'!D41</f>
        <v>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>
        <f t="shared" si="0"/>
        <v>0</v>
      </c>
      <c r="O25" s="10"/>
      <c r="P25" s="10"/>
      <c r="Q25" s="10"/>
      <c r="R25" s="24"/>
      <c r="S25" s="24"/>
      <c r="T25" s="10"/>
      <c r="U25" s="15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>
        <f t="shared" si="1"/>
        <v>0</v>
      </c>
      <c r="AG25" s="10"/>
      <c r="AH25" s="10"/>
      <c r="AI25" s="10"/>
      <c r="AJ25" s="25"/>
      <c r="AK25" s="25"/>
      <c r="AL25" s="10"/>
      <c r="AM25" s="15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26"/>
      <c r="BC25" s="26"/>
      <c r="BD25" s="26"/>
      <c r="BE25" s="166"/>
      <c r="BF25" s="27"/>
    </row>
    <row r="26" spans="1:58" ht="18" customHeight="1">
      <c r="A26" s="8">
        <v>19</v>
      </c>
      <c r="B26" s="8">
        <f>'Course Information'!B42</f>
        <v>0</v>
      </c>
      <c r="C26" s="4">
        <f>'Course Information'!D42</f>
        <v>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f t="shared" si="0"/>
        <v>0</v>
      </c>
      <c r="O26" s="10"/>
      <c r="P26" s="10"/>
      <c r="Q26" s="10"/>
      <c r="R26" s="24"/>
      <c r="S26" s="24"/>
      <c r="T26" s="10"/>
      <c r="U26" s="15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f t="shared" si="1"/>
        <v>0</v>
      </c>
      <c r="AG26" s="10"/>
      <c r="AH26" s="10"/>
      <c r="AI26" s="10"/>
      <c r="AJ26" s="25"/>
      <c r="AK26" s="25"/>
      <c r="AL26" s="10"/>
      <c r="AM26" s="15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26"/>
      <c r="BC26" s="26"/>
      <c r="BD26" s="26"/>
      <c r="BE26" s="166"/>
      <c r="BF26" s="27"/>
    </row>
    <row r="27" spans="1:58" ht="18" customHeight="1">
      <c r="A27" s="8">
        <v>20</v>
      </c>
      <c r="B27" s="8">
        <f>'Course Information'!B43</f>
        <v>0</v>
      </c>
      <c r="C27" s="4">
        <f>'Course Information'!D43</f>
        <v>0</v>
      </c>
      <c r="D27" s="10"/>
      <c r="E27" s="10"/>
      <c r="F27" s="10"/>
      <c r="G27" s="10"/>
      <c r="I27" s="10"/>
      <c r="J27" s="10"/>
      <c r="K27" s="10"/>
      <c r="L27" s="10"/>
      <c r="M27" s="10"/>
      <c r="N27" s="10">
        <f t="shared" si="0"/>
        <v>0</v>
      </c>
      <c r="O27" s="10"/>
      <c r="P27" s="10"/>
      <c r="Q27" s="10"/>
      <c r="R27" s="24"/>
      <c r="S27" s="24"/>
      <c r="T27" s="10"/>
      <c r="U27" s="150"/>
      <c r="V27" s="10"/>
      <c r="W27" s="10"/>
      <c r="X27" s="10"/>
      <c r="Y27" s="10"/>
      <c r="AA27" s="10"/>
      <c r="AB27" s="10"/>
      <c r="AC27" s="10"/>
      <c r="AD27" s="10"/>
      <c r="AE27" s="10"/>
      <c r="AF27" s="10">
        <f t="shared" si="1"/>
        <v>0</v>
      </c>
      <c r="AG27" s="10"/>
      <c r="AH27" s="10"/>
      <c r="AI27" s="10"/>
      <c r="AJ27" s="25"/>
      <c r="AK27" s="25"/>
      <c r="AL27" s="10"/>
      <c r="AM27" s="15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26"/>
      <c r="BC27" s="26"/>
      <c r="BD27" s="26"/>
      <c r="BE27" s="166"/>
      <c r="BF27" s="27"/>
    </row>
    <row r="28" spans="1:58" ht="18" customHeight="1">
      <c r="A28" s="8">
        <v>21</v>
      </c>
      <c r="B28" s="8">
        <f>'Course Information'!B44</f>
        <v>0</v>
      </c>
      <c r="C28" s="4">
        <f>'Course Information'!D44</f>
        <v>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>
        <f t="shared" si="0"/>
        <v>0</v>
      </c>
      <c r="O28" s="10"/>
      <c r="P28" s="10"/>
      <c r="Q28" s="10"/>
      <c r="R28" s="24"/>
      <c r="S28" s="24"/>
      <c r="T28" s="10"/>
      <c r="U28" s="15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f t="shared" si="1"/>
        <v>0</v>
      </c>
      <c r="AG28" s="10"/>
      <c r="AH28" s="10"/>
      <c r="AI28" s="10"/>
      <c r="AJ28" s="25"/>
      <c r="AK28" s="25"/>
      <c r="AL28" s="10"/>
      <c r="AM28" s="15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26"/>
      <c r="BC28" s="26"/>
      <c r="BD28" s="26"/>
      <c r="BE28" s="166"/>
      <c r="BF28" s="27"/>
    </row>
    <row r="29" spans="1:58" ht="18" customHeight="1">
      <c r="A29" s="8">
        <v>22</v>
      </c>
      <c r="B29" s="8">
        <f>'Course Information'!B45</f>
        <v>0</v>
      </c>
      <c r="C29" s="4">
        <f>'Course Information'!D45</f>
        <v>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>
        <f t="shared" si="0"/>
        <v>0</v>
      </c>
      <c r="O29" s="10"/>
      <c r="P29" s="10"/>
      <c r="Q29" s="10"/>
      <c r="R29" s="24"/>
      <c r="S29" s="24"/>
      <c r="T29" s="10"/>
      <c r="U29" s="15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f t="shared" si="1"/>
        <v>0</v>
      </c>
      <c r="AG29" s="10"/>
      <c r="AH29" s="10"/>
      <c r="AI29" s="10"/>
      <c r="AJ29" s="25"/>
      <c r="AK29" s="25"/>
      <c r="AL29" s="10"/>
      <c r="AM29" s="15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26"/>
      <c r="BC29" s="26"/>
      <c r="BD29" s="26"/>
      <c r="BE29" s="166"/>
      <c r="BF29" s="27"/>
    </row>
    <row r="30" spans="1:58" ht="18" customHeight="1">
      <c r="A30" s="8">
        <v>23</v>
      </c>
      <c r="B30" s="8">
        <f>'Course Information'!B46</f>
        <v>0</v>
      </c>
      <c r="C30" s="4">
        <f>'Course Information'!D46</f>
        <v>0</v>
      </c>
      <c r="D30" s="10"/>
      <c r="E30" s="10"/>
      <c r="F30" s="10"/>
      <c r="G30" s="10"/>
      <c r="I30" s="10"/>
      <c r="J30" s="10"/>
      <c r="K30" s="10"/>
      <c r="L30" s="10"/>
      <c r="M30" s="10"/>
      <c r="N30" s="10">
        <f t="shared" si="0"/>
        <v>0</v>
      </c>
      <c r="O30" s="10"/>
      <c r="P30" s="10"/>
      <c r="Q30" s="10"/>
      <c r="R30" s="24"/>
      <c r="S30" s="24"/>
      <c r="T30" s="10"/>
      <c r="U30" s="150"/>
      <c r="V30" s="10"/>
      <c r="W30" s="10"/>
      <c r="X30" s="10"/>
      <c r="Y30" s="10"/>
      <c r="AA30" s="10"/>
      <c r="AB30" s="10"/>
      <c r="AC30" s="10"/>
      <c r="AD30" s="10"/>
      <c r="AE30" s="10"/>
      <c r="AF30" s="10">
        <f t="shared" si="1"/>
        <v>0</v>
      </c>
      <c r="AG30" s="10"/>
      <c r="AH30" s="10"/>
      <c r="AI30" s="10"/>
      <c r="AJ30" s="25"/>
      <c r="AK30" s="25"/>
      <c r="AL30" s="10"/>
      <c r="AM30" s="15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26"/>
      <c r="BC30" s="26"/>
      <c r="BD30" s="26"/>
      <c r="BE30" s="166"/>
      <c r="BF30" s="27"/>
    </row>
    <row r="31" spans="1:58" ht="18" customHeight="1">
      <c r="A31" s="8">
        <v>24</v>
      </c>
      <c r="B31" s="8">
        <f>'Course Information'!B47</f>
        <v>0</v>
      </c>
      <c r="C31" s="4">
        <f>'Course Information'!D47</f>
        <v>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>
        <f t="shared" si="0"/>
        <v>0</v>
      </c>
      <c r="O31" s="10"/>
      <c r="P31" s="10"/>
      <c r="Q31" s="10"/>
      <c r="R31" s="24"/>
      <c r="S31" s="24"/>
      <c r="T31" s="10"/>
      <c r="U31" s="15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>
        <f t="shared" si="1"/>
        <v>0</v>
      </c>
      <c r="AG31" s="10"/>
      <c r="AH31" s="10"/>
      <c r="AI31" s="10"/>
      <c r="AJ31" s="25"/>
      <c r="AK31" s="25"/>
      <c r="AL31" s="10"/>
      <c r="AM31" s="15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26"/>
      <c r="BC31" s="26"/>
      <c r="BD31" s="26"/>
      <c r="BE31" s="166"/>
      <c r="BF31" s="27"/>
    </row>
    <row r="32" spans="1:58" ht="18" customHeight="1">
      <c r="A32" s="8">
        <v>25</v>
      </c>
      <c r="B32" s="8">
        <f>'Course Information'!B48</f>
        <v>0</v>
      </c>
      <c r="C32" s="4">
        <f>'Course Information'!D48</f>
        <v>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>
        <f t="shared" si="0"/>
        <v>0</v>
      </c>
      <c r="O32" s="10"/>
      <c r="P32" s="10"/>
      <c r="Q32" s="10"/>
      <c r="R32" s="24"/>
      <c r="S32" s="24"/>
      <c r="T32" s="10"/>
      <c r="U32" s="15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>
        <f t="shared" si="1"/>
        <v>0</v>
      </c>
      <c r="AG32" s="10"/>
      <c r="AH32" s="10"/>
      <c r="AI32" s="10"/>
      <c r="AJ32" s="25"/>
      <c r="AK32" s="25"/>
      <c r="AL32" s="10"/>
      <c r="AM32" s="15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26"/>
      <c r="BC32" s="26"/>
      <c r="BD32" s="26"/>
      <c r="BE32" s="166"/>
      <c r="BF32" s="27"/>
    </row>
    <row r="33" spans="1:58" ht="18" customHeight="1">
      <c r="A33" s="8">
        <v>26</v>
      </c>
      <c r="B33" s="8">
        <f>'Course Information'!B49</f>
        <v>0</v>
      </c>
      <c r="C33" s="4">
        <f>'Course Information'!D49</f>
        <v>0</v>
      </c>
      <c r="D33" s="10"/>
      <c r="E33" s="10"/>
      <c r="F33" s="10"/>
      <c r="G33" s="10"/>
      <c r="I33" s="10"/>
      <c r="J33" s="10"/>
      <c r="K33" s="10"/>
      <c r="L33" s="10"/>
      <c r="M33" s="10"/>
      <c r="N33" s="10">
        <f t="shared" si="0"/>
        <v>0</v>
      </c>
      <c r="O33" s="10"/>
      <c r="P33" s="10"/>
      <c r="Q33" s="10"/>
      <c r="R33" s="24"/>
      <c r="S33" s="24"/>
      <c r="T33" s="10"/>
      <c r="U33" s="150"/>
      <c r="V33" s="10"/>
      <c r="W33" s="10"/>
      <c r="X33" s="10"/>
      <c r="Y33" s="10"/>
      <c r="AA33" s="10"/>
      <c r="AB33" s="10"/>
      <c r="AC33" s="10"/>
      <c r="AD33" s="10"/>
      <c r="AE33" s="10"/>
      <c r="AF33" s="10">
        <f t="shared" si="1"/>
        <v>0</v>
      </c>
      <c r="AG33" s="10"/>
      <c r="AH33" s="10"/>
      <c r="AI33" s="10"/>
      <c r="AJ33" s="25"/>
      <c r="AK33" s="25"/>
      <c r="AL33" s="10"/>
      <c r="AM33" s="15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26"/>
      <c r="BC33" s="26"/>
      <c r="BD33" s="26"/>
      <c r="BE33" s="166"/>
      <c r="BF33" s="27"/>
    </row>
    <row r="34" spans="1:58" ht="18" customHeight="1">
      <c r="A34" s="8">
        <v>27</v>
      </c>
      <c r="B34" s="8">
        <f>'Course Information'!B50</f>
        <v>0</v>
      </c>
      <c r="C34" s="4">
        <f>'Course Information'!D50</f>
        <v>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>
        <f t="shared" si="0"/>
        <v>0</v>
      </c>
      <c r="O34" s="10"/>
      <c r="P34" s="10"/>
      <c r="Q34" s="10"/>
      <c r="R34" s="24"/>
      <c r="S34" s="24"/>
      <c r="T34" s="10"/>
      <c r="U34" s="15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>
        <f t="shared" si="1"/>
        <v>0</v>
      </c>
      <c r="AG34" s="10"/>
      <c r="AH34" s="10"/>
      <c r="AI34" s="10"/>
      <c r="AJ34" s="25"/>
      <c r="AK34" s="25"/>
      <c r="AL34" s="10"/>
      <c r="AM34" s="15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26"/>
      <c r="BC34" s="26"/>
      <c r="BD34" s="26"/>
      <c r="BE34" s="166"/>
      <c r="BF34" s="27"/>
    </row>
    <row r="35" spans="1:58" ht="18" customHeight="1">
      <c r="A35" s="8">
        <v>28</v>
      </c>
      <c r="B35" s="8">
        <f>'Course Information'!B51</f>
        <v>0</v>
      </c>
      <c r="C35" s="4">
        <f>'Course Information'!D51</f>
        <v>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f t="shared" si="0"/>
        <v>0</v>
      </c>
      <c r="O35" s="10"/>
      <c r="P35" s="10"/>
      <c r="Q35" s="10"/>
      <c r="R35" s="24"/>
      <c r="S35" s="24"/>
      <c r="T35" s="10"/>
      <c r="U35" s="15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>
        <f t="shared" si="1"/>
        <v>0</v>
      </c>
      <c r="AG35" s="10"/>
      <c r="AH35" s="10"/>
      <c r="AI35" s="10"/>
      <c r="AJ35" s="25"/>
      <c r="AK35" s="25"/>
      <c r="AL35" s="10"/>
      <c r="AM35" s="15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26"/>
      <c r="BC35" s="26"/>
      <c r="BD35" s="26"/>
      <c r="BE35" s="166"/>
      <c r="BF35" s="27"/>
    </row>
    <row r="36" spans="1:58" ht="18" customHeight="1">
      <c r="A36" s="8">
        <v>29</v>
      </c>
      <c r="B36" s="8">
        <f>'Course Information'!B52</f>
        <v>0</v>
      </c>
      <c r="C36" s="4">
        <f>'Course Information'!D52</f>
        <v>0</v>
      </c>
      <c r="D36" s="10"/>
      <c r="E36" s="10"/>
      <c r="F36" s="10"/>
      <c r="G36" s="10"/>
      <c r="I36" s="10"/>
      <c r="J36" s="10"/>
      <c r="K36" s="10"/>
      <c r="L36" s="10"/>
      <c r="M36" s="10"/>
      <c r="N36" s="10">
        <f t="shared" si="0"/>
        <v>0</v>
      </c>
      <c r="O36" s="10"/>
      <c r="P36" s="10"/>
      <c r="Q36" s="10"/>
      <c r="R36" s="24"/>
      <c r="S36" s="24"/>
      <c r="T36" s="10"/>
      <c r="U36" s="150"/>
      <c r="V36" s="10"/>
      <c r="W36" s="10"/>
      <c r="X36" s="10"/>
      <c r="Y36" s="10"/>
      <c r="AA36" s="10"/>
      <c r="AB36" s="10"/>
      <c r="AC36" s="10"/>
      <c r="AD36" s="10"/>
      <c r="AE36" s="10"/>
      <c r="AF36" s="10">
        <f t="shared" si="1"/>
        <v>0</v>
      </c>
      <c r="AG36" s="10"/>
      <c r="AH36" s="10"/>
      <c r="AI36" s="10"/>
      <c r="AJ36" s="25"/>
      <c r="AK36" s="25"/>
      <c r="AL36" s="10"/>
      <c r="AM36" s="15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26"/>
      <c r="BC36" s="26"/>
      <c r="BD36" s="26"/>
      <c r="BE36" s="166"/>
      <c r="BF36" s="27"/>
    </row>
    <row r="37" spans="1:58" ht="18" customHeight="1">
      <c r="A37" s="8">
        <v>30</v>
      </c>
      <c r="B37" s="8">
        <f>'Course Information'!B53</f>
        <v>0</v>
      </c>
      <c r="C37" s="4">
        <f>'Course Information'!D53</f>
        <v>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>
        <f t="shared" si="0"/>
        <v>0</v>
      </c>
      <c r="O37" s="10"/>
      <c r="P37" s="10"/>
      <c r="Q37" s="10"/>
      <c r="R37" s="24"/>
      <c r="S37" s="24"/>
      <c r="T37" s="10"/>
      <c r="U37" s="15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f t="shared" si="1"/>
        <v>0</v>
      </c>
      <c r="AG37" s="10"/>
      <c r="AH37" s="10"/>
      <c r="AI37" s="10"/>
      <c r="AJ37" s="25"/>
      <c r="AK37" s="25"/>
      <c r="AL37" s="10"/>
      <c r="AM37" s="15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26"/>
      <c r="BC37" s="26"/>
      <c r="BD37" s="26"/>
      <c r="BE37" s="166"/>
      <c r="BF37" s="27"/>
    </row>
    <row r="38" spans="1:58" ht="18" customHeight="1">
      <c r="A38" s="8">
        <v>31</v>
      </c>
      <c r="B38" s="8">
        <f>'Course Information'!B54</f>
        <v>0</v>
      </c>
      <c r="C38" s="4">
        <f>'Course Information'!D54</f>
        <v>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>
        <f t="shared" si="0"/>
        <v>0</v>
      </c>
      <c r="O38" s="10"/>
      <c r="P38" s="10"/>
      <c r="Q38" s="10"/>
      <c r="R38" s="24"/>
      <c r="S38" s="24"/>
      <c r="T38" s="10"/>
      <c r="U38" s="15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f t="shared" si="1"/>
        <v>0</v>
      </c>
      <c r="AG38" s="10"/>
      <c r="AH38" s="10"/>
      <c r="AI38" s="10"/>
      <c r="AJ38" s="25"/>
      <c r="AK38" s="25"/>
      <c r="AL38" s="10"/>
      <c r="AM38" s="15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26"/>
      <c r="BC38" s="26"/>
      <c r="BD38" s="26"/>
      <c r="BE38" s="166"/>
      <c r="BF38" s="27"/>
    </row>
    <row r="39" spans="1:58" ht="18" customHeight="1">
      <c r="A39" s="8">
        <v>32</v>
      </c>
      <c r="B39" s="8">
        <f>'Course Information'!B55</f>
        <v>0</v>
      </c>
      <c r="C39" s="4">
        <f>'Course Information'!D55</f>
        <v>0</v>
      </c>
      <c r="D39" s="10"/>
      <c r="E39" s="10"/>
      <c r="F39" s="10"/>
      <c r="G39" s="10"/>
      <c r="I39" s="10"/>
      <c r="J39" s="10"/>
      <c r="K39" s="10"/>
      <c r="L39" s="10"/>
      <c r="M39" s="10"/>
      <c r="N39" s="10">
        <f t="shared" si="0"/>
        <v>0</v>
      </c>
      <c r="O39" s="10"/>
      <c r="P39" s="10"/>
      <c r="Q39" s="10"/>
      <c r="R39" s="24"/>
      <c r="S39" s="24"/>
      <c r="T39" s="10"/>
      <c r="U39" s="150"/>
      <c r="V39" s="10"/>
      <c r="W39" s="10"/>
      <c r="X39" s="10"/>
      <c r="Y39" s="10"/>
      <c r="AA39" s="10"/>
      <c r="AB39" s="10"/>
      <c r="AC39" s="10"/>
      <c r="AD39" s="10"/>
      <c r="AE39" s="10"/>
      <c r="AF39" s="10">
        <f t="shared" si="1"/>
        <v>0</v>
      </c>
      <c r="AG39" s="10"/>
      <c r="AH39" s="10"/>
      <c r="AI39" s="10"/>
      <c r="AJ39" s="25"/>
      <c r="AK39" s="25"/>
      <c r="AL39" s="10"/>
      <c r="AM39" s="15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26"/>
      <c r="BC39" s="26"/>
      <c r="BD39" s="26"/>
      <c r="BE39" s="166"/>
      <c r="BF39" s="27"/>
    </row>
    <row r="40" spans="1:58" ht="18" customHeight="1">
      <c r="A40" s="8">
        <v>33</v>
      </c>
      <c r="B40" s="8">
        <f>'Course Information'!B56</f>
        <v>0</v>
      </c>
      <c r="C40" s="4">
        <f>'Course Information'!D56</f>
        <v>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>
        <f t="shared" si="0"/>
        <v>0</v>
      </c>
      <c r="O40" s="10"/>
      <c r="P40" s="10"/>
      <c r="Q40" s="10"/>
      <c r="R40" s="24"/>
      <c r="S40" s="24"/>
      <c r="T40" s="10"/>
      <c r="U40" s="15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>
        <f t="shared" si="1"/>
        <v>0</v>
      </c>
      <c r="AG40" s="10"/>
      <c r="AH40" s="10"/>
      <c r="AI40" s="10"/>
      <c r="AJ40" s="25"/>
      <c r="AK40" s="25"/>
      <c r="AL40" s="10"/>
      <c r="AM40" s="15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26"/>
      <c r="BC40" s="26"/>
      <c r="BD40" s="26"/>
      <c r="BE40" s="166"/>
      <c r="BF40" s="27"/>
    </row>
    <row r="41" spans="1:58" ht="18" customHeight="1">
      <c r="A41" s="8">
        <v>34</v>
      </c>
      <c r="B41" s="8">
        <f>'Course Information'!B57</f>
        <v>0</v>
      </c>
      <c r="C41" s="4">
        <f>'Course Information'!D57</f>
        <v>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>
        <f t="shared" si="0"/>
        <v>0</v>
      </c>
      <c r="O41" s="10"/>
      <c r="P41" s="10"/>
      <c r="Q41" s="10"/>
      <c r="R41" s="24"/>
      <c r="S41" s="24"/>
      <c r="T41" s="10"/>
      <c r="U41" s="15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>
        <f t="shared" si="1"/>
        <v>0</v>
      </c>
      <c r="AG41" s="10"/>
      <c r="AH41" s="10"/>
      <c r="AI41" s="10"/>
      <c r="AJ41" s="25"/>
      <c r="AK41" s="25"/>
      <c r="AL41" s="10"/>
      <c r="AM41" s="15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26"/>
      <c r="BC41" s="26"/>
      <c r="BD41" s="26"/>
      <c r="BE41" s="166"/>
      <c r="BF41" s="27"/>
    </row>
    <row r="42" spans="1:58" ht="18" customHeight="1">
      <c r="A42" s="8">
        <v>35</v>
      </c>
      <c r="B42" s="8">
        <f>'Course Information'!B58</f>
        <v>0</v>
      </c>
      <c r="C42" s="4">
        <f>'Course Information'!D58</f>
        <v>0</v>
      </c>
      <c r="D42" s="10"/>
      <c r="E42" s="10"/>
      <c r="F42" s="10"/>
      <c r="G42" s="10"/>
      <c r="I42" s="10"/>
      <c r="J42" s="10"/>
      <c r="K42" s="10"/>
      <c r="L42" s="10"/>
      <c r="M42" s="10"/>
      <c r="N42" s="10">
        <f t="shared" si="0"/>
        <v>0</v>
      </c>
      <c r="O42" s="10"/>
      <c r="P42" s="10"/>
      <c r="Q42" s="10"/>
      <c r="R42" s="24"/>
      <c r="S42" s="24"/>
      <c r="T42" s="10"/>
      <c r="U42" s="150"/>
      <c r="V42" s="10"/>
      <c r="W42" s="10"/>
      <c r="X42" s="10"/>
      <c r="Y42" s="10"/>
      <c r="AA42" s="10"/>
      <c r="AB42" s="10"/>
      <c r="AC42" s="10"/>
      <c r="AD42" s="10"/>
      <c r="AE42" s="10"/>
      <c r="AF42" s="10">
        <f t="shared" si="1"/>
        <v>0</v>
      </c>
      <c r="AG42" s="10"/>
      <c r="AH42" s="10"/>
      <c r="AI42" s="10"/>
      <c r="AJ42" s="25"/>
      <c r="AK42" s="25"/>
      <c r="AL42" s="10"/>
      <c r="AM42" s="15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26"/>
      <c r="BC42" s="26"/>
      <c r="BD42" s="26"/>
      <c r="BE42" s="166"/>
      <c r="BF42" s="27"/>
    </row>
    <row r="43" spans="1:58" ht="18" customHeight="1">
      <c r="A43" s="8">
        <v>36</v>
      </c>
      <c r="B43" s="8">
        <f>'Course Information'!B59</f>
        <v>0</v>
      </c>
      <c r="C43" s="4">
        <f>'Course Information'!D59</f>
        <v>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>
        <f t="shared" si="0"/>
        <v>0</v>
      </c>
      <c r="O43" s="10"/>
      <c r="P43" s="10"/>
      <c r="Q43" s="10"/>
      <c r="R43" s="24"/>
      <c r="S43" s="24"/>
      <c r="T43" s="10"/>
      <c r="U43" s="15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>
        <f t="shared" si="1"/>
        <v>0</v>
      </c>
      <c r="AG43" s="10"/>
      <c r="AH43" s="10"/>
      <c r="AI43" s="10"/>
      <c r="AJ43" s="25"/>
      <c r="AK43" s="25"/>
      <c r="AL43" s="10"/>
      <c r="AM43" s="15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26"/>
      <c r="BC43" s="26"/>
      <c r="BD43" s="26"/>
      <c r="BE43" s="166"/>
      <c r="BF43" s="27"/>
    </row>
    <row r="44" spans="1:58" ht="18" customHeight="1">
      <c r="A44" s="8">
        <v>37</v>
      </c>
      <c r="B44" s="8">
        <f>'Course Information'!B60</f>
        <v>0</v>
      </c>
      <c r="C44" s="4">
        <f>'Course Information'!D60</f>
        <v>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>
        <f t="shared" si="0"/>
        <v>0</v>
      </c>
      <c r="O44" s="10"/>
      <c r="P44" s="10"/>
      <c r="Q44" s="10"/>
      <c r="R44" s="24"/>
      <c r="S44" s="24"/>
      <c r="T44" s="10"/>
      <c r="U44" s="15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f t="shared" si="1"/>
        <v>0</v>
      </c>
      <c r="AG44" s="10"/>
      <c r="AH44" s="10"/>
      <c r="AI44" s="10"/>
      <c r="AJ44" s="25"/>
      <c r="AK44" s="25"/>
      <c r="AL44" s="10"/>
      <c r="AM44" s="15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26"/>
      <c r="BC44" s="26"/>
      <c r="BD44" s="26"/>
      <c r="BE44" s="166"/>
      <c r="BF44" s="27"/>
    </row>
    <row r="45" spans="1:58" ht="18" customHeight="1">
      <c r="A45" s="8">
        <v>38</v>
      </c>
      <c r="B45" s="8">
        <f>'Course Information'!B61</f>
        <v>0</v>
      </c>
      <c r="C45" s="4">
        <f>'Course Information'!D61</f>
        <v>0</v>
      </c>
      <c r="D45" s="10"/>
      <c r="E45" s="10"/>
      <c r="F45" s="10"/>
      <c r="G45" s="10"/>
      <c r="I45" s="10"/>
      <c r="J45" s="10"/>
      <c r="K45" s="10"/>
      <c r="L45" s="10"/>
      <c r="M45" s="10"/>
      <c r="N45" s="10">
        <f t="shared" si="0"/>
        <v>0</v>
      </c>
      <c r="O45" s="10"/>
      <c r="P45" s="10"/>
      <c r="Q45" s="10"/>
      <c r="R45" s="24"/>
      <c r="S45" s="24"/>
      <c r="T45" s="10"/>
      <c r="U45" s="150"/>
      <c r="V45" s="10"/>
      <c r="W45" s="10"/>
      <c r="X45" s="10"/>
      <c r="Y45" s="10"/>
      <c r="AA45" s="10"/>
      <c r="AB45" s="10"/>
      <c r="AC45" s="10"/>
      <c r="AD45" s="10"/>
      <c r="AE45" s="10"/>
      <c r="AF45" s="10">
        <f t="shared" si="1"/>
        <v>0</v>
      </c>
      <c r="AG45" s="10"/>
      <c r="AH45" s="10"/>
      <c r="AI45" s="10"/>
      <c r="AJ45" s="25"/>
      <c r="AK45" s="25"/>
      <c r="AL45" s="10"/>
      <c r="AM45" s="15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26"/>
      <c r="BC45" s="26"/>
      <c r="BD45" s="26"/>
      <c r="BE45" s="166"/>
      <c r="BF45" s="27"/>
    </row>
    <row r="46" spans="1:58" ht="18" customHeight="1">
      <c r="A46" s="8">
        <v>39</v>
      </c>
      <c r="B46" s="8">
        <f>'Course Information'!B62</f>
        <v>0</v>
      </c>
      <c r="C46" s="4">
        <f>'Course Information'!D62</f>
        <v>0</v>
      </c>
      <c r="D46" s="10"/>
      <c r="E46" s="10"/>
      <c r="F46" s="10"/>
      <c r="G46" s="10"/>
      <c r="H46" s="10"/>
      <c r="I46" s="10"/>
      <c r="J46" s="10"/>
      <c r="K46" s="10"/>
      <c r="L46" s="29"/>
      <c r="M46" s="29"/>
      <c r="N46" s="10">
        <f t="shared" si="0"/>
        <v>0</v>
      </c>
      <c r="O46" s="29"/>
      <c r="P46" s="10"/>
      <c r="Q46" s="10"/>
      <c r="R46" s="24"/>
      <c r="S46" s="24"/>
      <c r="T46" s="10"/>
      <c r="U46" s="150"/>
      <c r="V46" s="10"/>
      <c r="W46" s="10"/>
      <c r="X46" s="10"/>
      <c r="Y46" s="10"/>
      <c r="Z46" s="10"/>
      <c r="AA46" s="10"/>
      <c r="AB46" s="10"/>
      <c r="AC46" s="10"/>
      <c r="AD46" s="10"/>
      <c r="AE46" s="29"/>
      <c r="AF46" s="10">
        <f t="shared" si="1"/>
        <v>0</v>
      </c>
      <c r="AG46" s="29"/>
      <c r="AH46" s="10"/>
      <c r="AI46" s="10"/>
      <c r="AJ46" s="25"/>
      <c r="AK46" s="25"/>
      <c r="AL46" s="10"/>
      <c r="AM46" s="150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10"/>
      <c r="BA46" s="10"/>
      <c r="BB46" s="26"/>
      <c r="BC46" s="26"/>
      <c r="BD46" s="26"/>
      <c r="BE46" s="166"/>
      <c r="BF46" s="27"/>
    </row>
    <row r="47" spans="1:58" ht="18" customHeight="1">
      <c r="A47" s="8">
        <v>40</v>
      </c>
      <c r="B47" s="8">
        <f>'Course Information'!B63</f>
        <v>0</v>
      </c>
      <c r="C47" s="4">
        <f>'Course Information'!D63</f>
        <v>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>
        <f t="shared" si="0"/>
        <v>0</v>
      </c>
      <c r="O47" s="10"/>
      <c r="P47" s="10"/>
      <c r="Q47" s="10"/>
      <c r="R47" s="24"/>
      <c r="S47" s="24"/>
      <c r="T47" s="10"/>
      <c r="U47" s="15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f t="shared" si="1"/>
        <v>0</v>
      </c>
      <c r="AG47" s="10"/>
      <c r="AH47" s="10"/>
      <c r="AI47" s="10"/>
      <c r="AJ47" s="25"/>
      <c r="AK47" s="25"/>
      <c r="AL47" s="10"/>
      <c r="AM47" s="15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26"/>
      <c r="BC47" s="26"/>
      <c r="BD47" s="26"/>
      <c r="BE47" s="166"/>
      <c r="BF47" s="27"/>
    </row>
    <row r="48" spans="1:58" ht="18" customHeight="1">
      <c r="A48" s="8">
        <v>41</v>
      </c>
      <c r="B48" s="8">
        <f>'Course Information'!B64</f>
        <v>0</v>
      </c>
      <c r="C48" s="4">
        <f>'Course Information'!D64</f>
        <v>0</v>
      </c>
      <c r="D48" s="10"/>
      <c r="E48" s="10"/>
      <c r="F48" s="10"/>
      <c r="G48" s="10"/>
      <c r="I48" s="10"/>
      <c r="J48" s="10"/>
      <c r="K48" s="10"/>
      <c r="L48" s="10"/>
      <c r="M48" s="10"/>
      <c r="N48" s="10">
        <f t="shared" si="0"/>
        <v>0</v>
      </c>
      <c r="O48" s="10"/>
      <c r="P48" s="10"/>
      <c r="Q48" s="10"/>
      <c r="R48" s="24"/>
      <c r="S48" s="24"/>
      <c r="T48" s="10"/>
      <c r="U48" s="150"/>
      <c r="V48" s="10"/>
      <c r="W48" s="10"/>
      <c r="X48" s="10"/>
      <c r="Y48" s="10"/>
      <c r="AA48" s="10"/>
      <c r="AB48" s="10"/>
      <c r="AC48" s="10"/>
      <c r="AD48" s="10"/>
      <c r="AE48" s="10"/>
      <c r="AF48" s="10">
        <f t="shared" si="1"/>
        <v>0</v>
      </c>
      <c r="AG48" s="10"/>
      <c r="AH48" s="10"/>
      <c r="AI48" s="10"/>
      <c r="AJ48" s="25"/>
      <c r="AK48" s="25"/>
      <c r="AL48" s="10"/>
      <c r="AM48" s="15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26"/>
      <c r="BC48" s="26"/>
      <c r="BD48" s="26"/>
      <c r="BE48" s="166"/>
      <c r="BF48" s="27"/>
    </row>
    <row r="49" spans="1:58" ht="18" customHeight="1">
      <c r="A49" s="8">
        <v>42</v>
      </c>
      <c r="B49" s="8">
        <f>'Course Information'!B65</f>
        <v>0</v>
      </c>
      <c r="C49" s="4">
        <f>'Course Information'!D65</f>
        <v>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>
        <f t="shared" si="0"/>
        <v>0</v>
      </c>
      <c r="O49" s="10"/>
      <c r="P49" s="10"/>
      <c r="Q49" s="10"/>
      <c r="R49" s="24"/>
      <c r="S49" s="24"/>
      <c r="T49" s="10"/>
      <c r="U49" s="15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f t="shared" si="1"/>
        <v>0</v>
      </c>
      <c r="AG49" s="10"/>
      <c r="AH49" s="10"/>
      <c r="AI49" s="10"/>
      <c r="AJ49" s="25"/>
      <c r="AK49" s="25"/>
      <c r="AL49" s="10"/>
      <c r="AM49" s="15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26"/>
      <c r="BC49" s="26"/>
      <c r="BD49" s="26"/>
      <c r="BE49" s="166"/>
      <c r="BF49" s="27"/>
    </row>
    <row r="50" spans="1:58" ht="18" customHeight="1">
      <c r="A50" s="8">
        <v>43</v>
      </c>
      <c r="B50" s="8">
        <f>'Course Information'!B66</f>
        <v>0</v>
      </c>
      <c r="C50" s="4">
        <f>'Course Information'!D66</f>
        <v>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>
        <f t="shared" si="0"/>
        <v>0</v>
      </c>
      <c r="O50" s="10"/>
      <c r="P50" s="10"/>
      <c r="Q50" s="10"/>
      <c r="R50" s="24"/>
      <c r="S50" s="24"/>
      <c r="T50" s="10"/>
      <c r="U50" s="15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>
        <f t="shared" si="1"/>
        <v>0</v>
      </c>
      <c r="AG50" s="10"/>
      <c r="AH50" s="10"/>
      <c r="AI50" s="10"/>
      <c r="AJ50" s="25"/>
      <c r="AK50" s="25"/>
      <c r="AL50" s="10"/>
      <c r="AM50" s="15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26"/>
      <c r="BC50" s="26"/>
      <c r="BD50" s="26"/>
      <c r="BE50" s="166"/>
      <c r="BF50" s="27"/>
    </row>
    <row r="51" spans="1:58" ht="18" customHeight="1">
      <c r="A51" s="8">
        <v>44</v>
      </c>
      <c r="B51" s="8">
        <f>'Course Information'!B67</f>
        <v>0</v>
      </c>
      <c r="C51" s="4">
        <f>'Course Information'!D67</f>
        <v>0</v>
      </c>
      <c r="D51" s="10"/>
      <c r="E51" s="10"/>
      <c r="F51" s="10"/>
      <c r="G51" s="10"/>
      <c r="I51" s="10"/>
      <c r="J51" s="10"/>
      <c r="K51" s="10"/>
      <c r="L51" s="10"/>
      <c r="M51" s="10"/>
      <c r="N51" s="10">
        <f t="shared" si="0"/>
        <v>0</v>
      </c>
      <c r="O51" s="10"/>
      <c r="P51" s="10"/>
      <c r="Q51" s="10"/>
      <c r="R51" s="24"/>
      <c r="S51" s="24"/>
      <c r="T51" s="10"/>
      <c r="U51" s="150"/>
      <c r="V51" s="10"/>
      <c r="W51" s="10"/>
      <c r="X51" s="10"/>
      <c r="Y51" s="10"/>
      <c r="AA51" s="10"/>
      <c r="AB51" s="10"/>
      <c r="AC51" s="10"/>
      <c r="AD51" s="10"/>
      <c r="AE51" s="10"/>
      <c r="AF51" s="10">
        <f t="shared" si="1"/>
        <v>0</v>
      </c>
      <c r="AG51" s="10"/>
      <c r="AH51" s="10"/>
      <c r="AI51" s="10"/>
      <c r="AJ51" s="25"/>
      <c r="AK51" s="25"/>
      <c r="AL51" s="10"/>
      <c r="AM51" s="15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26"/>
      <c r="BC51" s="26"/>
      <c r="BD51" s="26"/>
      <c r="BE51" s="166"/>
      <c r="BF51" s="27"/>
    </row>
    <row r="52" spans="1:58" ht="18" customHeight="1">
      <c r="A52" s="8">
        <v>45</v>
      </c>
      <c r="B52" s="8">
        <f>'Course Information'!B68</f>
        <v>0</v>
      </c>
      <c r="C52" s="4">
        <f>'Course Information'!D68</f>
        <v>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>
        <f t="shared" si="0"/>
        <v>0</v>
      </c>
      <c r="O52" s="10"/>
      <c r="P52" s="10"/>
      <c r="Q52" s="10"/>
      <c r="R52" s="24"/>
      <c r="S52" s="24"/>
      <c r="T52" s="10"/>
      <c r="U52" s="15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>
        <f t="shared" si="1"/>
        <v>0</v>
      </c>
      <c r="AG52" s="10"/>
      <c r="AH52" s="10"/>
      <c r="AI52" s="10"/>
      <c r="AJ52" s="25"/>
      <c r="AK52" s="25"/>
      <c r="AL52" s="10"/>
      <c r="AM52" s="15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26"/>
      <c r="BC52" s="26"/>
      <c r="BD52" s="26"/>
      <c r="BE52" s="166"/>
      <c r="BF52" s="27"/>
    </row>
    <row r="53" spans="1:58" ht="18" customHeight="1">
      <c r="A53" s="8">
        <v>46</v>
      </c>
      <c r="B53" s="8">
        <f>'Course Information'!B69</f>
        <v>0</v>
      </c>
      <c r="C53" s="4">
        <f>'Course Information'!D69</f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>
        <f t="shared" si="0"/>
        <v>0</v>
      </c>
      <c r="O53" s="10"/>
      <c r="P53" s="10"/>
      <c r="Q53" s="10"/>
      <c r="R53" s="24"/>
      <c r="S53" s="24"/>
      <c r="T53" s="10"/>
      <c r="U53" s="15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>
        <f t="shared" si="1"/>
        <v>0</v>
      </c>
      <c r="AG53" s="10"/>
      <c r="AH53" s="10"/>
      <c r="AI53" s="10"/>
      <c r="AJ53" s="25"/>
      <c r="AK53" s="25"/>
      <c r="AL53" s="10"/>
      <c r="AM53" s="15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26"/>
      <c r="BC53" s="26"/>
      <c r="BD53" s="26"/>
      <c r="BE53" s="166"/>
      <c r="BF53" s="27"/>
    </row>
    <row r="54" spans="1:58" ht="18" customHeight="1">
      <c r="A54" s="8">
        <v>47</v>
      </c>
      <c r="B54" s="8">
        <f>'Course Information'!B70</f>
        <v>0</v>
      </c>
      <c r="C54" s="4">
        <f>'Course Information'!D70</f>
        <v>0</v>
      </c>
      <c r="D54" s="10"/>
      <c r="E54" s="10"/>
      <c r="F54" s="10"/>
      <c r="G54" s="10"/>
      <c r="I54" s="10"/>
      <c r="J54" s="10"/>
      <c r="K54" s="10"/>
      <c r="L54" s="10"/>
      <c r="M54" s="10"/>
      <c r="N54" s="10">
        <f t="shared" si="0"/>
        <v>0</v>
      </c>
      <c r="O54" s="10"/>
      <c r="P54" s="10"/>
      <c r="Q54" s="10"/>
      <c r="R54" s="24"/>
      <c r="S54" s="24"/>
      <c r="T54" s="10"/>
      <c r="U54" s="150"/>
      <c r="V54" s="10"/>
      <c r="W54" s="10"/>
      <c r="X54" s="10"/>
      <c r="Y54" s="10"/>
      <c r="AA54" s="10"/>
      <c r="AB54" s="10"/>
      <c r="AC54" s="10"/>
      <c r="AD54" s="10"/>
      <c r="AE54" s="10"/>
      <c r="AF54" s="10">
        <f t="shared" si="1"/>
        <v>0</v>
      </c>
      <c r="AG54" s="10"/>
      <c r="AH54" s="10"/>
      <c r="AI54" s="10"/>
      <c r="AJ54" s="25"/>
      <c r="AK54" s="25"/>
      <c r="AL54" s="10"/>
      <c r="AM54" s="15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26"/>
      <c r="BC54" s="26"/>
      <c r="BD54" s="26"/>
      <c r="BE54" s="166"/>
      <c r="BF54" s="27"/>
    </row>
    <row r="55" spans="1:58" ht="18" customHeight="1">
      <c r="A55" s="8">
        <v>48</v>
      </c>
      <c r="B55" s="8">
        <f>'Course Information'!B71</f>
        <v>0</v>
      </c>
      <c r="C55" s="4">
        <f>'Course Information'!D71</f>
        <v>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>
        <f t="shared" si="0"/>
        <v>0</v>
      </c>
      <c r="O55" s="10"/>
      <c r="P55" s="10"/>
      <c r="Q55" s="10"/>
      <c r="R55" s="24"/>
      <c r="S55" s="24"/>
      <c r="T55" s="10"/>
      <c r="U55" s="15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>
        <f t="shared" si="1"/>
        <v>0</v>
      </c>
      <c r="AG55" s="10"/>
      <c r="AH55" s="10"/>
      <c r="AI55" s="10"/>
      <c r="AJ55" s="25"/>
      <c r="AK55" s="25"/>
      <c r="AL55" s="10"/>
      <c r="AM55" s="15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26"/>
      <c r="BC55" s="26"/>
      <c r="BD55" s="26"/>
      <c r="BE55" s="166"/>
      <c r="BF55" s="27"/>
    </row>
    <row r="56" spans="1:58" ht="18" customHeight="1">
      <c r="A56" s="8">
        <v>49</v>
      </c>
      <c r="B56" s="8">
        <f>'Course Information'!B72</f>
        <v>0</v>
      </c>
      <c r="C56" s="4">
        <f>'Course Information'!D72</f>
        <v>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>
        <f t="shared" si="0"/>
        <v>0</v>
      </c>
      <c r="O56" s="10"/>
      <c r="P56" s="10"/>
      <c r="Q56" s="10"/>
      <c r="R56" s="24"/>
      <c r="S56" s="24"/>
      <c r="T56" s="10"/>
      <c r="U56" s="15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>
        <f t="shared" si="1"/>
        <v>0</v>
      </c>
      <c r="AG56" s="10"/>
      <c r="AH56" s="10"/>
      <c r="AI56" s="10"/>
      <c r="AJ56" s="25"/>
      <c r="AK56" s="25"/>
      <c r="AL56" s="10"/>
      <c r="AM56" s="15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26"/>
      <c r="BC56" s="26"/>
      <c r="BD56" s="26"/>
      <c r="BE56" s="166"/>
      <c r="BF56" s="27"/>
    </row>
    <row r="57" spans="1:58" ht="18" customHeight="1">
      <c r="A57" s="8">
        <v>50</v>
      </c>
      <c r="B57" s="8">
        <f>'Course Information'!B73</f>
        <v>0</v>
      </c>
      <c r="C57" s="4">
        <f>'Course Information'!D73</f>
        <v>0</v>
      </c>
      <c r="D57" s="10"/>
      <c r="E57" s="10"/>
      <c r="F57" s="10"/>
      <c r="G57" s="10"/>
      <c r="I57" s="10"/>
      <c r="J57" s="10"/>
      <c r="K57" s="10"/>
      <c r="L57" s="10"/>
      <c r="M57" s="10"/>
      <c r="N57" s="10">
        <f t="shared" si="0"/>
        <v>0</v>
      </c>
      <c r="O57" s="10"/>
      <c r="P57" s="10"/>
      <c r="Q57" s="10"/>
      <c r="R57" s="24"/>
      <c r="S57" s="24"/>
      <c r="T57" s="10"/>
      <c r="U57" s="150"/>
      <c r="V57" s="10"/>
      <c r="W57" s="10"/>
      <c r="X57" s="10"/>
      <c r="Y57" s="10"/>
      <c r="AA57" s="10"/>
      <c r="AB57" s="10"/>
      <c r="AC57" s="10"/>
      <c r="AD57" s="10"/>
      <c r="AE57" s="10"/>
      <c r="AF57" s="10">
        <f t="shared" si="1"/>
        <v>0</v>
      </c>
      <c r="AG57" s="10"/>
      <c r="AH57" s="10"/>
      <c r="AI57" s="10"/>
      <c r="AJ57" s="25"/>
      <c r="AK57" s="25"/>
      <c r="AL57" s="10"/>
      <c r="AM57" s="15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26"/>
      <c r="BC57" s="26"/>
      <c r="BD57" s="26"/>
      <c r="BE57" s="166"/>
      <c r="BF57" s="27"/>
    </row>
    <row r="58" spans="1:58" ht="18" customHeight="1">
      <c r="A58" s="8">
        <v>51</v>
      </c>
      <c r="B58" s="8">
        <f>'Course Information'!B74</f>
        <v>0</v>
      </c>
      <c r="C58" s="4">
        <f>'Course Information'!D74</f>
        <v>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f t="shared" si="0"/>
        <v>0</v>
      </c>
      <c r="O58" s="10"/>
      <c r="P58" s="10"/>
      <c r="Q58" s="10"/>
      <c r="R58" s="24"/>
      <c r="S58" s="24"/>
      <c r="T58" s="10"/>
      <c r="U58" s="15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>
        <f t="shared" si="1"/>
        <v>0</v>
      </c>
      <c r="AG58" s="10"/>
      <c r="AH58" s="10"/>
      <c r="AI58" s="10"/>
      <c r="AJ58" s="25"/>
      <c r="AK58" s="25"/>
      <c r="AL58" s="10"/>
      <c r="AM58" s="15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26"/>
      <c r="BC58" s="26"/>
      <c r="BD58" s="26"/>
      <c r="BE58" s="166"/>
      <c r="BF58" s="27"/>
    </row>
    <row r="59" spans="1:58" ht="18" customHeight="1">
      <c r="A59" s="8">
        <v>52</v>
      </c>
      <c r="B59" s="8">
        <f>'Course Information'!B75</f>
        <v>0</v>
      </c>
      <c r="C59" s="4">
        <f>'Course Information'!D75</f>
        <v>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>
        <f t="shared" si="0"/>
        <v>0</v>
      </c>
      <c r="O59" s="10"/>
      <c r="P59" s="10"/>
      <c r="Q59" s="10"/>
      <c r="R59" s="24"/>
      <c r="S59" s="24"/>
      <c r="T59" s="10"/>
      <c r="U59" s="15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>
        <f t="shared" si="1"/>
        <v>0</v>
      </c>
      <c r="AG59" s="10"/>
      <c r="AH59" s="10"/>
      <c r="AI59" s="10"/>
      <c r="AJ59" s="25"/>
      <c r="AK59" s="25"/>
      <c r="AL59" s="10"/>
      <c r="AM59" s="15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26"/>
      <c r="BC59" s="26"/>
      <c r="BD59" s="26"/>
      <c r="BE59" s="166"/>
      <c r="BF59" s="27"/>
    </row>
    <row r="60" spans="1:58" ht="18" customHeight="1">
      <c r="A60" s="8">
        <v>53</v>
      </c>
      <c r="B60" s="8">
        <f>'Course Information'!B76</f>
        <v>0</v>
      </c>
      <c r="C60" s="4">
        <f>'Course Information'!D76</f>
        <v>0</v>
      </c>
      <c r="D60" s="10"/>
      <c r="E60" s="10"/>
      <c r="F60" s="10"/>
      <c r="G60" s="10"/>
      <c r="I60" s="10"/>
      <c r="J60" s="10"/>
      <c r="K60" s="10"/>
      <c r="L60" s="10"/>
      <c r="M60" s="10"/>
      <c r="N60" s="10">
        <f t="shared" si="0"/>
        <v>0</v>
      </c>
      <c r="O60" s="10"/>
      <c r="P60" s="10"/>
      <c r="Q60" s="10"/>
      <c r="R60" s="24"/>
      <c r="S60" s="24"/>
      <c r="T60" s="10"/>
      <c r="U60" s="150"/>
      <c r="V60" s="10"/>
      <c r="W60" s="10"/>
      <c r="X60" s="10"/>
      <c r="Y60" s="10"/>
      <c r="AA60" s="10"/>
      <c r="AB60" s="10"/>
      <c r="AC60" s="10"/>
      <c r="AD60" s="10"/>
      <c r="AE60" s="10"/>
      <c r="AF60" s="10">
        <f t="shared" si="1"/>
        <v>0</v>
      </c>
      <c r="AG60" s="10"/>
      <c r="AH60" s="10"/>
      <c r="AI60" s="10"/>
      <c r="AJ60" s="25"/>
      <c r="AK60" s="25"/>
      <c r="AL60" s="10"/>
      <c r="AM60" s="15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26"/>
      <c r="BC60" s="26"/>
      <c r="BD60" s="26"/>
      <c r="BE60" s="166"/>
      <c r="BF60" s="27"/>
    </row>
    <row r="61" spans="1:58" ht="18" customHeight="1">
      <c r="A61" s="8">
        <v>54</v>
      </c>
      <c r="B61" s="8">
        <f>'Course Information'!B77</f>
        <v>0</v>
      </c>
      <c r="C61" s="4">
        <f>'Course Information'!D77</f>
        <v>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>
        <f t="shared" si="0"/>
        <v>0</v>
      </c>
      <c r="O61" s="10"/>
      <c r="P61" s="10"/>
      <c r="Q61" s="10"/>
      <c r="R61" s="24"/>
      <c r="S61" s="24"/>
      <c r="T61" s="10"/>
      <c r="U61" s="15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f t="shared" si="1"/>
        <v>0</v>
      </c>
      <c r="AG61" s="10"/>
      <c r="AH61" s="10"/>
      <c r="AI61" s="10"/>
      <c r="AJ61" s="25"/>
      <c r="AK61" s="25"/>
      <c r="AL61" s="10"/>
      <c r="AM61" s="15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26"/>
      <c r="BC61" s="26"/>
      <c r="BD61" s="26"/>
      <c r="BE61" s="166"/>
      <c r="BF61" s="27"/>
    </row>
    <row r="62" spans="1:58" ht="18" customHeight="1">
      <c r="A62" s="8">
        <v>55</v>
      </c>
      <c r="B62" s="8">
        <f>'Course Information'!B78</f>
        <v>0</v>
      </c>
      <c r="C62" s="4">
        <f>'Course Information'!D78</f>
        <v>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>
        <f t="shared" si="0"/>
        <v>0</v>
      </c>
      <c r="O62" s="10"/>
      <c r="P62" s="10"/>
      <c r="Q62" s="10"/>
      <c r="R62" s="24"/>
      <c r="S62" s="24"/>
      <c r="T62" s="10"/>
      <c r="U62" s="15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>
        <f t="shared" si="1"/>
        <v>0</v>
      </c>
      <c r="AG62" s="10"/>
      <c r="AH62" s="10"/>
      <c r="AI62" s="10"/>
      <c r="AJ62" s="25"/>
      <c r="AK62" s="25"/>
      <c r="AL62" s="10"/>
      <c r="AM62" s="15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26"/>
      <c r="BC62" s="26"/>
      <c r="BD62" s="26"/>
      <c r="BE62" s="166"/>
      <c r="BF62" s="27"/>
    </row>
    <row r="63" spans="1:58" ht="18" customHeight="1">
      <c r="A63" s="8">
        <v>56</v>
      </c>
      <c r="B63" s="8">
        <f>'Course Information'!B79</f>
        <v>0</v>
      </c>
      <c r="C63" s="4">
        <f>'Course Information'!D79</f>
        <v>0</v>
      </c>
      <c r="D63" s="10"/>
      <c r="E63" s="10"/>
      <c r="F63" s="10"/>
      <c r="G63" s="10"/>
      <c r="I63" s="10"/>
      <c r="J63" s="10"/>
      <c r="K63" s="10"/>
      <c r="L63" s="10"/>
      <c r="M63" s="10"/>
      <c r="N63" s="10">
        <f t="shared" si="0"/>
        <v>0</v>
      </c>
      <c r="O63" s="10"/>
      <c r="P63" s="10"/>
      <c r="Q63" s="10"/>
      <c r="R63" s="24"/>
      <c r="S63" s="24"/>
      <c r="T63" s="10"/>
      <c r="U63" s="150"/>
      <c r="V63" s="10"/>
      <c r="W63" s="10"/>
      <c r="X63" s="10"/>
      <c r="Y63" s="10"/>
      <c r="AA63" s="10"/>
      <c r="AB63" s="10"/>
      <c r="AC63" s="10"/>
      <c r="AD63" s="10"/>
      <c r="AE63" s="10"/>
      <c r="AF63" s="10">
        <f t="shared" si="1"/>
        <v>0</v>
      </c>
      <c r="AG63" s="10"/>
      <c r="AH63" s="10"/>
      <c r="AI63" s="10"/>
      <c r="AJ63" s="25"/>
      <c r="AK63" s="25"/>
      <c r="AL63" s="10"/>
      <c r="AM63" s="15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26"/>
      <c r="BC63" s="26"/>
      <c r="BD63" s="26"/>
      <c r="BE63" s="166"/>
      <c r="BF63" s="27"/>
    </row>
    <row r="64" spans="1:58" ht="18" customHeight="1">
      <c r="A64" s="8">
        <v>57</v>
      </c>
      <c r="B64" s="8">
        <f>'Course Information'!B80</f>
        <v>0</v>
      </c>
      <c r="C64" s="4">
        <f>'Course Information'!D80</f>
        <v>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>
        <f t="shared" si="0"/>
        <v>0</v>
      </c>
      <c r="O64" s="10"/>
      <c r="P64" s="10"/>
      <c r="Q64" s="10"/>
      <c r="R64" s="24"/>
      <c r="S64" s="24"/>
      <c r="T64" s="10"/>
      <c r="U64" s="15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>
        <f t="shared" si="1"/>
        <v>0</v>
      </c>
      <c r="AG64" s="10"/>
      <c r="AH64" s="10"/>
      <c r="AI64" s="10"/>
      <c r="AJ64" s="25"/>
      <c r="AK64" s="25"/>
      <c r="AL64" s="10"/>
      <c r="AM64" s="15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26"/>
      <c r="BC64" s="26"/>
      <c r="BD64" s="26"/>
      <c r="BE64" s="166"/>
      <c r="BF64" s="27"/>
    </row>
    <row r="65" spans="1:58" ht="18" customHeight="1">
      <c r="A65" s="8">
        <v>58</v>
      </c>
      <c r="B65" s="8">
        <f>'Course Information'!B81</f>
        <v>0</v>
      </c>
      <c r="C65" s="4">
        <f>'Course Information'!D81</f>
        <v>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>
        <f t="shared" si="0"/>
        <v>0</v>
      </c>
      <c r="O65" s="10"/>
      <c r="P65" s="10"/>
      <c r="Q65" s="10"/>
      <c r="R65" s="24"/>
      <c r="S65" s="24"/>
      <c r="T65" s="10"/>
      <c r="U65" s="15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>
        <f t="shared" si="1"/>
        <v>0</v>
      </c>
      <c r="AG65" s="10"/>
      <c r="AH65" s="10"/>
      <c r="AI65" s="10"/>
      <c r="AJ65" s="25"/>
      <c r="AK65" s="25"/>
      <c r="AL65" s="10"/>
      <c r="AM65" s="15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26"/>
      <c r="BC65" s="26"/>
      <c r="BD65" s="26"/>
      <c r="BE65" s="166"/>
      <c r="BF65" s="27"/>
    </row>
    <row r="66" spans="1:58" ht="18" customHeight="1">
      <c r="A66" s="8">
        <v>59</v>
      </c>
      <c r="B66" s="8">
        <f>'Course Information'!B82</f>
        <v>0</v>
      </c>
      <c r="C66" s="4">
        <f>'Course Information'!D82</f>
        <v>0</v>
      </c>
      <c r="D66" s="10"/>
      <c r="E66" s="10"/>
      <c r="F66" s="10"/>
      <c r="G66" s="10"/>
      <c r="I66" s="10"/>
      <c r="J66" s="10"/>
      <c r="K66" s="10"/>
      <c r="L66" s="10"/>
      <c r="M66" s="10"/>
      <c r="N66" s="10">
        <f t="shared" si="0"/>
        <v>0</v>
      </c>
      <c r="O66" s="10"/>
      <c r="P66" s="10"/>
      <c r="Q66" s="10"/>
      <c r="R66" s="24"/>
      <c r="S66" s="24"/>
      <c r="T66" s="10"/>
      <c r="U66" s="150"/>
      <c r="V66" s="10"/>
      <c r="W66" s="10"/>
      <c r="X66" s="10"/>
      <c r="Y66" s="10"/>
      <c r="AA66" s="10"/>
      <c r="AB66" s="10"/>
      <c r="AC66" s="10"/>
      <c r="AD66" s="10"/>
      <c r="AE66" s="10"/>
      <c r="AF66" s="10">
        <f t="shared" si="1"/>
        <v>0</v>
      </c>
      <c r="AG66" s="10"/>
      <c r="AH66" s="10"/>
      <c r="AI66" s="10"/>
      <c r="AJ66" s="25"/>
      <c r="AK66" s="25"/>
      <c r="AL66" s="10"/>
      <c r="AM66" s="15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26"/>
      <c r="BC66" s="26"/>
      <c r="BD66" s="26"/>
      <c r="BE66" s="166"/>
      <c r="BF66" s="27"/>
    </row>
    <row r="67" spans="1:58" ht="18" customHeight="1">
      <c r="A67" s="8">
        <v>60</v>
      </c>
      <c r="B67" s="8">
        <f>'Course Information'!B83</f>
        <v>0</v>
      </c>
      <c r="C67" s="4">
        <f>'Course Information'!D83</f>
        <v>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>
        <f t="shared" si="0"/>
        <v>0</v>
      </c>
      <c r="O67" s="10"/>
      <c r="P67" s="10"/>
      <c r="Q67" s="10"/>
      <c r="R67" s="24"/>
      <c r="S67" s="24"/>
      <c r="T67" s="10"/>
      <c r="U67" s="15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>
        <f t="shared" si="1"/>
        <v>0</v>
      </c>
      <c r="AG67" s="10"/>
      <c r="AH67" s="10"/>
      <c r="AI67" s="10"/>
      <c r="AJ67" s="25"/>
      <c r="AK67" s="25"/>
      <c r="AL67" s="10"/>
      <c r="AM67" s="15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26"/>
      <c r="BC67" s="26"/>
      <c r="BD67" s="26"/>
      <c r="BE67" s="166"/>
      <c r="BF67" s="27"/>
    </row>
    <row r="68" spans="1:58" ht="18" customHeight="1">
      <c r="A68" s="8">
        <v>61</v>
      </c>
      <c r="B68" s="8">
        <f>'Course Information'!B84</f>
        <v>0</v>
      </c>
      <c r="C68" s="4">
        <f>'Course Information'!D84</f>
        <v>0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>
        <f t="shared" si="0"/>
        <v>0</v>
      </c>
      <c r="O68" s="10"/>
      <c r="P68" s="10"/>
      <c r="Q68" s="10"/>
      <c r="R68" s="24"/>
      <c r="S68" s="24"/>
      <c r="T68" s="10"/>
      <c r="U68" s="15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>
        <f t="shared" si="1"/>
        <v>0</v>
      </c>
      <c r="AG68" s="10"/>
      <c r="AH68" s="10"/>
      <c r="AI68" s="10"/>
      <c r="AJ68" s="25"/>
      <c r="AK68" s="25"/>
      <c r="AL68" s="10"/>
      <c r="AM68" s="15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26"/>
      <c r="BC68" s="26"/>
      <c r="BD68" s="26"/>
      <c r="BE68" s="166"/>
      <c r="BF68" s="27"/>
    </row>
    <row r="69" spans="1:58" ht="18" customHeight="1">
      <c r="A69" s="8">
        <v>62</v>
      </c>
      <c r="B69" s="8">
        <f>'Course Information'!B85</f>
        <v>0</v>
      </c>
      <c r="C69" s="4">
        <f>'Course Information'!D85</f>
        <v>0</v>
      </c>
      <c r="D69" s="10"/>
      <c r="E69" s="10"/>
      <c r="F69" s="10"/>
      <c r="G69" s="10"/>
      <c r="I69" s="10"/>
      <c r="J69" s="10"/>
      <c r="K69" s="10"/>
      <c r="L69" s="10"/>
      <c r="M69" s="10"/>
      <c r="N69" s="10">
        <f t="shared" si="0"/>
        <v>0</v>
      </c>
      <c r="O69" s="10"/>
      <c r="P69" s="10"/>
      <c r="Q69" s="10"/>
      <c r="R69" s="24"/>
      <c r="S69" s="24"/>
      <c r="T69" s="10"/>
      <c r="U69" s="150"/>
      <c r="V69" s="10"/>
      <c r="W69" s="10"/>
      <c r="X69" s="10"/>
      <c r="Y69" s="10"/>
      <c r="AA69" s="10"/>
      <c r="AB69" s="10"/>
      <c r="AC69" s="10"/>
      <c r="AD69" s="10"/>
      <c r="AE69" s="10"/>
      <c r="AF69" s="10">
        <f t="shared" si="1"/>
        <v>0</v>
      </c>
      <c r="AG69" s="10"/>
      <c r="AH69" s="10"/>
      <c r="AI69" s="10"/>
      <c r="AJ69" s="25"/>
      <c r="AK69" s="25"/>
      <c r="AL69" s="10"/>
      <c r="AM69" s="15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26"/>
      <c r="BC69" s="26"/>
      <c r="BD69" s="26"/>
      <c r="BE69" s="166"/>
      <c r="BF69" s="27"/>
    </row>
    <row r="70" spans="1:58" ht="18" customHeight="1">
      <c r="A70" s="8">
        <v>63</v>
      </c>
      <c r="B70" s="8">
        <f>'Course Information'!B86</f>
        <v>0</v>
      </c>
      <c r="C70" s="4">
        <f>'Course Information'!D86</f>
        <v>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>
        <f t="shared" si="0"/>
        <v>0</v>
      </c>
      <c r="O70" s="10"/>
      <c r="P70" s="10"/>
      <c r="Q70" s="10"/>
      <c r="R70" s="24"/>
      <c r="S70" s="24"/>
      <c r="T70" s="10"/>
      <c r="U70" s="15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>
        <f t="shared" si="1"/>
        <v>0</v>
      </c>
      <c r="AG70" s="10"/>
      <c r="AH70" s="10"/>
      <c r="AI70" s="10"/>
      <c r="AJ70" s="25"/>
      <c r="AK70" s="25"/>
      <c r="AL70" s="10"/>
      <c r="AM70" s="15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26"/>
      <c r="BC70" s="26"/>
      <c r="BD70" s="26"/>
      <c r="BE70" s="166"/>
      <c r="BF70" s="27"/>
    </row>
    <row r="71" spans="1:58" ht="18" customHeight="1">
      <c r="A71" s="8">
        <v>64</v>
      </c>
      <c r="B71" s="8">
        <f>'Course Information'!B87</f>
        <v>0</v>
      </c>
      <c r="C71" s="4">
        <f>'Course Information'!D87</f>
        <v>0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f t="shared" si="0"/>
        <v>0</v>
      </c>
      <c r="O71" s="10"/>
      <c r="P71" s="10"/>
      <c r="Q71" s="10"/>
      <c r="R71" s="24"/>
      <c r="S71" s="24"/>
      <c r="T71" s="10"/>
      <c r="U71" s="15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>
        <f t="shared" si="1"/>
        <v>0</v>
      </c>
      <c r="AG71" s="10"/>
      <c r="AH71" s="10"/>
      <c r="AI71" s="10"/>
      <c r="AJ71" s="25"/>
      <c r="AK71" s="25"/>
      <c r="AL71" s="10"/>
      <c r="AM71" s="15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26"/>
      <c r="BC71" s="26"/>
      <c r="BD71" s="26"/>
      <c r="BE71" s="166"/>
      <c r="BF71" s="27"/>
    </row>
    <row r="72" spans="1:58" ht="18" customHeight="1">
      <c r="A72" s="8">
        <v>65</v>
      </c>
      <c r="B72" s="8">
        <f>'Course Information'!B88</f>
        <v>0</v>
      </c>
      <c r="C72" s="4">
        <f>'Course Information'!D88</f>
        <v>0</v>
      </c>
      <c r="D72" s="10"/>
      <c r="E72" s="10"/>
      <c r="F72" s="10"/>
      <c r="G72" s="10"/>
      <c r="I72" s="10"/>
      <c r="J72" s="10"/>
      <c r="K72" s="10"/>
      <c r="L72" s="10"/>
      <c r="M72" s="10"/>
      <c r="N72" s="10">
        <f t="shared" si="0"/>
        <v>0</v>
      </c>
      <c r="O72" s="10"/>
      <c r="P72" s="10"/>
      <c r="Q72" s="10"/>
      <c r="R72" s="24"/>
      <c r="S72" s="24"/>
      <c r="T72" s="10"/>
      <c r="U72" s="150"/>
      <c r="V72" s="10"/>
      <c r="W72" s="10"/>
      <c r="X72" s="10"/>
      <c r="Y72" s="10"/>
      <c r="AA72" s="10"/>
      <c r="AB72" s="10"/>
      <c r="AC72" s="10"/>
      <c r="AD72" s="10"/>
      <c r="AE72" s="10"/>
      <c r="AF72" s="10">
        <f t="shared" si="1"/>
        <v>0</v>
      </c>
      <c r="AG72" s="10"/>
      <c r="AH72" s="10"/>
      <c r="AI72" s="10"/>
      <c r="AJ72" s="25"/>
      <c r="AK72" s="25"/>
      <c r="AL72" s="10"/>
      <c r="AM72" s="15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26"/>
      <c r="BC72" s="26"/>
      <c r="BD72" s="26"/>
      <c r="BE72" s="166"/>
      <c r="BF72" s="27"/>
    </row>
    <row r="73" spans="1:58" ht="18" customHeight="1">
      <c r="A73" s="8">
        <v>66</v>
      </c>
      <c r="B73" s="8">
        <f>'Course Information'!B89</f>
        <v>0</v>
      </c>
      <c r="C73" s="4">
        <f>'Course Information'!D89</f>
        <v>0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>
        <f t="shared" si="0"/>
        <v>0</v>
      </c>
      <c r="O73" s="10"/>
      <c r="P73" s="10"/>
      <c r="Q73" s="10"/>
      <c r="R73" s="24"/>
      <c r="S73" s="24"/>
      <c r="T73" s="10"/>
      <c r="U73" s="15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>
        <f t="shared" si="1"/>
        <v>0</v>
      </c>
      <c r="AG73" s="10"/>
      <c r="AH73" s="10"/>
      <c r="AI73" s="10"/>
      <c r="AJ73" s="25"/>
      <c r="AK73" s="25"/>
      <c r="AL73" s="10"/>
      <c r="AM73" s="15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26"/>
      <c r="BC73" s="26"/>
      <c r="BD73" s="26"/>
      <c r="BE73" s="166"/>
      <c r="BF73" s="27"/>
    </row>
    <row r="74" spans="1:58" ht="18" customHeight="1">
      <c r="A74" s="8">
        <v>67</v>
      </c>
      <c r="B74" s="8">
        <f>'Course Information'!B90</f>
        <v>0</v>
      </c>
      <c r="C74" s="4">
        <f>'Course Information'!D90</f>
        <v>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f t="shared" si="0"/>
        <v>0</v>
      </c>
      <c r="O74" s="10"/>
      <c r="P74" s="10"/>
      <c r="Q74" s="10"/>
      <c r="R74" s="24"/>
      <c r="S74" s="24"/>
      <c r="T74" s="10"/>
      <c r="U74" s="15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>
        <f t="shared" si="1"/>
        <v>0</v>
      </c>
      <c r="AG74" s="10"/>
      <c r="AH74" s="10"/>
      <c r="AI74" s="10"/>
      <c r="AJ74" s="25"/>
      <c r="AK74" s="25"/>
      <c r="AL74" s="10"/>
      <c r="AM74" s="15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26"/>
      <c r="BC74" s="26"/>
      <c r="BD74" s="26"/>
      <c r="BE74" s="166"/>
      <c r="BF74" s="27"/>
    </row>
    <row r="75" spans="1:58" ht="18" customHeight="1">
      <c r="A75" s="8">
        <v>68</v>
      </c>
      <c r="B75" s="8">
        <f>'Course Information'!B91</f>
        <v>0</v>
      </c>
      <c r="C75" s="4">
        <f>'Course Information'!D91</f>
        <v>0</v>
      </c>
      <c r="D75" s="10"/>
      <c r="E75" s="10"/>
      <c r="F75" s="10"/>
      <c r="G75" s="10"/>
      <c r="I75" s="10"/>
      <c r="J75" s="10"/>
      <c r="K75" s="10"/>
      <c r="L75" s="10"/>
      <c r="M75" s="10"/>
      <c r="N75" s="10">
        <f t="shared" si="0"/>
        <v>0</v>
      </c>
      <c r="O75" s="10"/>
      <c r="P75" s="10"/>
      <c r="Q75" s="10"/>
      <c r="R75" s="24"/>
      <c r="S75" s="24"/>
      <c r="T75" s="10"/>
      <c r="U75" s="150"/>
      <c r="V75" s="10"/>
      <c r="W75" s="10"/>
      <c r="X75" s="10"/>
      <c r="Y75" s="10"/>
      <c r="AA75" s="10"/>
      <c r="AB75" s="10"/>
      <c r="AC75" s="10"/>
      <c r="AD75" s="10"/>
      <c r="AE75" s="10"/>
      <c r="AF75" s="10">
        <f t="shared" si="1"/>
        <v>0</v>
      </c>
      <c r="AG75" s="10"/>
      <c r="AH75" s="10"/>
      <c r="AI75" s="10"/>
      <c r="AJ75" s="25"/>
      <c r="AK75" s="25"/>
      <c r="AL75" s="10"/>
      <c r="AM75" s="15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26"/>
      <c r="BC75" s="26"/>
      <c r="BD75" s="26"/>
      <c r="BE75" s="166"/>
      <c r="BF75" s="27"/>
    </row>
    <row r="76" spans="1:58" ht="18" customHeight="1">
      <c r="A76" s="8">
        <v>69</v>
      </c>
      <c r="B76" s="8">
        <f>'Course Information'!B92</f>
        <v>0</v>
      </c>
      <c r="C76" s="4">
        <f>'Course Information'!D92</f>
        <v>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>
        <f t="shared" si="0"/>
        <v>0</v>
      </c>
      <c r="O76" s="10"/>
      <c r="P76" s="10"/>
      <c r="Q76" s="10"/>
      <c r="R76" s="24"/>
      <c r="S76" s="24"/>
      <c r="T76" s="10"/>
      <c r="U76" s="15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>
        <f t="shared" si="1"/>
        <v>0</v>
      </c>
      <c r="AG76" s="10"/>
      <c r="AH76" s="10"/>
      <c r="AI76" s="10"/>
      <c r="AJ76" s="25"/>
      <c r="AK76" s="25"/>
      <c r="AL76" s="10"/>
      <c r="AM76" s="15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26"/>
      <c r="BC76" s="26"/>
      <c r="BD76" s="26"/>
      <c r="BE76" s="166"/>
      <c r="BF76" s="27"/>
    </row>
    <row r="77" spans="1:58" ht="18" customHeight="1">
      <c r="A77" s="8">
        <v>70</v>
      </c>
      <c r="B77" s="8">
        <f>'Course Information'!B93</f>
        <v>0</v>
      </c>
      <c r="C77" s="4">
        <f>'Course Information'!D93</f>
        <v>0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>
        <f t="shared" si="0"/>
        <v>0</v>
      </c>
      <c r="O77" s="10"/>
      <c r="P77" s="10"/>
      <c r="Q77" s="10"/>
      <c r="R77" s="24"/>
      <c r="S77" s="24"/>
      <c r="T77" s="10"/>
      <c r="U77" s="15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>
        <f t="shared" si="1"/>
        <v>0</v>
      </c>
      <c r="AG77" s="10"/>
      <c r="AH77" s="10"/>
      <c r="AI77" s="10"/>
      <c r="AJ77" s="25"/>
      <c r="AK77" s="25"/>
      <c r="AL77" s="10"/>
      <c r="AM77" s="15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26"/>
      <c r="BC77" s="26"/>
      <c r="BD77" s="26"/>
      <c r="BE77" s="166"/>
      <c r="BF77" s="27"/>
    </row>
    <row r="78" spans="1:58" ht="18" customHeight="1">
      <c r="A78" s="8">
        <v>71</v>
      </c>
      <c r="B78" s="8">
        <f>'Course Information'!B94</f>
        <v>0</v>
      </c>
      <c r="C78" s="4">
        <f>'Course Information'!D94</f>
        <v>0</v>
      </c>
      <c r="D78" s="10"/>
      <c r="E78" s="10"/>
      <c r="F78" s="10"/>
      <c r="G78" s="10"/>
      <c r="I78" s="10"/>
      <c r="J78" s="10"/>
      <c r="K78" s="10"/>
      <c r="L78" s="10"/>
      <c r="M78" s="10"/>
      <c r="N78" s="10">
        <f t="shared" si="0"/>
        <v>0</v>
      </c>
      <c r="O78" s="10"/>
      <c r="P78" s="10"/>
      <c r="Q78" s="10"/>
      <c r="R78" s="24"/>
      <c r="S78" s="24"/>
      <c r="T78" s="10"/>
      <c r="U78" s="150"/>
      <c r="V78" s="10"/>
      <c r="W78" s="10"/>
      <c r="X78" s="10"/>
      <c r="Y78" s="10"/>
      <c r="AA78" s="10"/>
      <c r="AB78" s="10"/>
      <c r="AC78" s="10"/>
      <c r="AD78" s="10"/>
      <c r="AE78" s="10"/>
      <c r="AF78" s="10">
        <f t="shared" si="1"/>
        <v>0</v>
      </c>
      <c r="AG78" s="10"/>
      <c r="AH78" s="10"/>
      <c r="AI78" s="10"/>
      <c r="AJ78" s="25"/>
      <c r="AK78" s="25"/>
      <c r="AL78" s="10"/>
      <c r="AM78" s="15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26"/>
      <c r="BC78" s="26"/>
      <c r="BD78" s="26"/>
      <c r="BE78" s="166"/>
      <c r="BF78" s="27"/>
    </row>
    <row r="79" spans="1:58" ht="18" customHeight="1">
      <c r="A79" s="8">
        <v>72</v>
      </c>
      <c r="B79" s="8">
        <f>'Course Information'!B95</f>
        <v>0</v>
      </c>
      <c r="C79" s="4">
        <f>'Course Information'!D95</f>
        <v>0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>
        <f t="shared" si="0"/>
        <v>0</v>
      </c>
      <c r="O79" s="10"/>
      <c r="P79" s="10"/>
      <c r="Q79" s="10"/>
      <c r="R79" s="24"/>
      <c r="S79" s="24"/>
      <c r="T79" s="10"/>
      <c r="U79" s="15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>
        <f t="shared" si="1"/>
        <v>0</v>
      </c>
      <c r="AG79" s="10"/>
      <c r="AH79" s="10"/>
      <c r="AI79" s="10"/>
      <c r="AJ79" s="25"/>
      <c r="AK79" s="25"/>
      <c r="AL79" s="10"/>
      <c r="AM79" s="15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26"/>
      <c r="BC79" s="26"/>
      <c r="BD79" s="26"/>
      <c r="BE79" s="166"/>
      <c r="BF79" s="27"/>
    </row>
    <row r="80" spans="1:58" ht="18" customHeight="1">
      <c r="A80" s="8">
        <v>73</v>
      </c>
      <c r="B80" s="8">
        <f>'Course Information'!B96</f>
        <v>0</v>
      </c>
      <c r="C80" s="4">
        <f>'Course Information'!D96</f>
        <v>0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f t="shared" si="0"/>
        <v>0</v>
      </c>
      <c r="O80" s="10"/>
      <c r="P80" s="10"/>
      <c r="Q80" s="10"/>
      <c r="R80" s="24"/>
      <c r="S80" s="24"/>
      <c r="T80" s="10"/>
      <c r="U80" s="15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>
        <f t="shared" si="1"/>
        <v>0</v>
      </c>
      <c r="AG80" s="10"/>
      <c r="AH80" s="10"/>
      <c r="AI80" s="10"/>
      <c r="AJ80" s="25"/>
      <c r="AK80" s="25"/>
      <c r="AL80" s="10"/>
      <c r="AM80" s="15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26"/>
      <c r="BC80" s="26"/>
      <c r="BD80" s="26"/>
      <c r="BE80" s="166"/>
      <c r="BF80" s="27"/>
    </row>
    <row r="81" spans="1:58" ht="18" customHeight="1">
      <c r="A81" s="8">
        <v>74</v>
      </c>
      <c r="B81" s="8">
        <f>'Course Information'!B97</f>
        <v>0</v>
      </c>
      <c r="C81" s="4">
        <f>'Course Information'!D97</f>
        <v>0</v>
      </c>
      <c r="D81" s="10"/>
      <c r="E81" s="10"/>
      <c r="F81" s="10"/>
      <c r="G81" s="10"/>
      <c r="I81" s="10"/>
      <c r="J81" s="10"/>
      <c r="K81" s="10"/>
      <c r="L81" s="10"/>
      <c r="M81" s="10"/>
      <c r="N81" s="10">
        <f t="shared" si="0"/>
        <v>0</v>
      </c>
      <c r="O81" s="10"/>
      <c r="P81" s="10"/>
      <c r="Q81" s="10"/>
      <c r="R81" s="24"/>
      <c r="S81" s="24"/>
      <c r="T81" s="10"/>
      <c r="U81" s="150"/>
      <c r="V81" s="10"/>
      <c r="W81" s="10"/>
      <c r="X81" s="10"/>
      <c r="Y81" s="10"/>
      <c r="AA81" s="10"/>
      <c r="AB81" s="10"/>
      <c r="AC81" s="10"/>
      <c r="AD81" s="10"/>
      <c r="AE81" s="10"/>
      <c r="AF81" s="10">
        <f t="shared" si="1"/>
        <v>0</v>
      </c>
      <c r="AG81" s="10"/>
      <c r="AH81" s="10"/>
      <c r="AI81" s="10"/>
      <c r="AJ81" s="25"/>
      <c r="AK81" s="25"/>
      <c r="AL81" s="10"/>
      <c r="AM81" s="15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26"/>
      <c r="BC81" s="26"/>
      <c r="BD81" s="26"/>
      <c r="BE81" s="166"/>
      <c r="BF81" s="27"/>
    </row>
    <row r="82" spans="1:58" ht="18" customHeight="1">
      <c r="A82" s="8">
        <v>75</v>
      </c>
      <c r="B82" s="8">
        <f>'Course Information'!B98</f>
        <v>0</v>
      </c>
      <c r="C82" s="4">
        <f>'Course Information'!D98</f>
        <v>0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>
        <f t="shared" si="0"/>
        <v>0</v>
      </c>
      <c r="O82" s="10"/>
      <c r="P82" s="10"/>
      <c r="Q82" s="10"/>
      <c r="R82" s="24"/>
      <c r="S82" s="24"/>
      <c r="T82" s="10"/>
      <c r="U82" s="15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>
        <f t="shared" si="1"/>
        <v>0</v>
      </c>
      <c r="AG82" s="10"/>
      <c r="AH82" s="10"/>
      <c r="AI82" s="10"/>
      <c r="AJ82" s="25"/>
      <c r="AK82" s="25"/>
      <c r="AL82" s="10"/>
      <c r="AM82" s="15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26"/>
      <c r="BC82" s="26"/>
      <c r="BD82" s="26"/>
      <c r="BE82" s="166"/>
      <c r="BF82" s="27"/>
    </row>
    <row r="83" spans="1:58" ht="18" customHeight="1">
      <c r="A83" s="164"/>
      <c r="B83" s="157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58"/>
      <c r="U83" s="150"/>
      <c r="V83" s="160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58"/>
      <c r="AM83" s="150"/>
      <c r="AN83" s="160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58"/>
      <c r="BE83" s="166"/>
      <c r="BF83" s="43"/>
    </row>
    <row r="84" spans="1:58" ht="18" customHeight="1">
      <c r="A84" s="150"/>
      <c r="B84" s="159" t="s">
        <v>114</v>
      </c>
      <c r="C84" s="126"/>
      <c r="D84" s="133" t="s">
        <v>115</v>
      </c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58"/>
      <c r="U84" s="150"/>
      <c r="V84" s="159" t="s">
        <v>116</v>
      </c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58"/>
      <c r="AM84" s="150"/>
      <c r="AN84" s="159" t="s">
        <v>117</v>
      </c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6"/>
      <c r="BE84" s="166"/>
      <c r="BF84" s="14" t="s">
        <v>28</v>
      </c>
    </row>
    <row r="85" spans="1:58" ht="18" customHeight="1">
      <c r="A85" s="150"/>
      <c r="B85" s="152" t="s">
        <v>118</v>
      </c>
      <c r="C85" s="126"/>
      <c r="D85" s="8" t="str">
        <f t="shared" ref="D85:T85" si="2">D5</f>
        <v/>
      </c>
      <c r="E85" s="8" t="str">
        <f t="shared" si="2"/>
        <v/>
      </c>
      <c r="F85" s="8" t="str">
        <f t="shared" si="2"/>
        <v/>
      </c>
      <c r="G85" s="8" t="str">
        <f t="shared" si="2"/>
        <v/>
      </c>
      <c r="H85" s="8" t="str">
        <f t="shared" si="2"/>
        <v/>
      </c>
      <c r="I85" s="8" t="str">
        <f t="shared" si="2"/>
        <v/>
      </c>
      <c r="J85" s="8" t="str">
        <f t="shared" si="2"/>
        <v/>
      </c>
      <c r="K85" s="8" t="str">
        <f t="shared" si="2"/>
        <v/>
      </c>
      <c r="L85" s="8" t="str">
        <f t="shared" si="2"/>
        <v/>
      </c>
      <c r="M85" s="8" t="str">
        <f t="shared" si="2"/>
        <v/>
      </c>
      <c r="N85" s="8" t="str">
        <f t="shared" si="2"/>
        <v/>
      </c>
      <c r="O85" s="8" t="str">
        <f t="shared" si="2"/>
        <v/>
      </c>
      <c r="P85" s="8" t="str">
        <f t="shared" si="2"/>
        <v/>
      </c>
      <c r="Q85" s="8" t="str">
        <f t="shared" si="2"/>
        <v/>
      </c>
      <c r="R85" s="8" t="str">
        <f t="shared" si="2"/>
        <v/>
      </c>
      <c r="S85" s="8" t="str">
        <f t="shared" si="2"/>
        <v/>
      </c>
      <c r="T85" s="8" t="str">
        <f t="shared" si="2"/>
        <v/>
      </c>
      <c r="U85" s="150"/>
      <c r="V85" s="8" t="str">
        <f t="shared" ref="V85:AL85" si="3">V5</f>
        <v/>
      </c>
      <c r="W85" s="8" t="str">
        <f t="shared" si="3"/>
        <v/>
      </c>
      <c r="X85" s="8" t="str">
        <f t="shared" si="3"/>
        <v/>
      </c>
      <c r="Y85" s="8" t="str">
        <f t="shared" si="3"/>
        <v/>
      </c>
      <c r="Z85" s="8" t="str">
        <f t="shared" si="3"/>
        <v/>
      </c>
      <c r="AA85" s="8" t="str">
        <f t="shared" si="3"/>
        <v/>
      </c>
      <c r="AB85" s="8" t="str">
        <f t="shared" si="3"/>
        <v/>
      </c>
      <c r="AC85" s="8" t="str">
        <f t="shared" si="3"/>
        <v/>
      </c>
      <c r="AD85" s="8" t="str">
        <f t="shared" si="3"/>
        <v/>
      </c>
      <c r="AE85" s="8" t="str">
        <f t="shared" si="3"/>
        <v/>
      </c>
      <c r="AF85" s="8" t="str">
        <f t="shared" si="3"/>
        <v/>
      </c>
      <c r="AG85" s="8" t="str">
        <f t="shared" si="3"/>
        <v/>
      </c>
      <c r="AH85" s="8" t="str">
        <f t="shared" si="3"/>
        <v/>
      </c>
      <c r="AI85" s="8" t="str">
        <f t="shared" si="3"/>
        <v/>
      </c>
      <c r="AJ85" s="8" t="str">
        <f t="shared" si="3"/>
        <v/>
      </c>
      <c r="AK85" s="8" t="str">
        <f t="shared" si="3"/>
        <v/>
      </c>
      <c r="AL85" s="9" t="str">
        <f t="shared" si="3"/>
        <v/>
      </c>
      <c r="AM85" s="150"/>
      <c r="AN85" s="44" t="str">
        <f t="shared" ref="AN85:BD85" si="4">AN5</f>
        <v>RT1</v>
      </c>
      <c r="AO85" s="8">
        <f t="shared" si="4"/>
        <v>0</v>
      </c>
      <c r="AP85" s="8">
        <f t="shared" si="4"/>
        <v>0</v>
      </c>
      <c r="AQ85" s="8">
        <f t="shared" si="4"/>
        <v>0</v>
      </c>
      <c r="AR85" s="8">
        <f t="shared" si="4"/>
        <v>0</v>
      </c>
      <c r="AS85" s="8">
        <f t="shared" si="4"/>
        <v>0</v>
      </c>
      <c r="AT85" s="8">
        <f t="shared" si="4"/>
        <v>0</v>
      </c>
      <c r="AU85" s="8">
        <f t="shared" si="4"/>
        <v>0</v>
      </c>
      <c r="AV85" s="8">
        <f t="shared" si="4"/>
        <v>0</v>
      </c>
      <c r="AW85" s="8" t="str">
        <f t="shared" si="4"/>
        <v>RT2</v>
      </c>
      <c r="AX85" s="8">
        <f t="shared" si="4"/>
        <v>0</v>
      </c>
      <c r="AY85" s="8">
        <f t="shared" si="4"/>
        <v>0</v>
      </c>
      <c r="AZ85" s="8">
        <f t="shared" si="4"/>
        <v>0</v>
      </c>
      <c r="BA85" s="8">
        <f t="shared" si="4"/>
        <v>0</v>
      </c>
      <c r="BB85" s="8">
        <f t="shared" si="4"/>
        <v>0</v>
      </c>
      <c r="BC85" s="8">
        <f t="shared" si="4"/>
        <v>0</v>
      </c>
      <c r="BD85" s="8">
        <f t="shared" si="4"/>
        <v>0</v>
      </c>
      <c r="BE85" s="166"/>
      <c r="BF85" s="8"/>
    </row>
    <row r="86" spans="1:58" ht="18" customHeight="1">
      <c r="A86" s="150"/>
      <c r="B86" s="152" t="s">
        <v>119</v>
      </c>
      <c r="C86" s="126"/>
      <c r="D86" s="8" t="str">
        <f t="shared" ref="D86:T86" si="5">IF(COUNT(D8:D82)=0,"",COUNT(D8:D82))</f>
        <v/>
      </c>
      <c r="E86" s="8" t="str">
        <f t="shared" si="5"/>
        <v/>
      </c>
      <c r="F86" s="8" t="str">
        <f t="shared" si="5"/>
        <v/>
      </c>
      <c r="G86" s="8" t="str">
        <f t="shared" si="5"/>
        <v/>
      </c>
      <c r="H86" s="8" t="str">
        <f t="shared" si="5"/>
        <v/>
      </c>
      <c r="I86" s="8" t="str">
        <f t="shared" si="5"/>
        <v/>
      </c>
      <c r="J86" s="8" t="str">
        <f t="shared" si="5"/>
        <v/>
      </c>
      <c r="K86" s="8" t="str">
        <f t="shared" si="5"/>
        <v/>
      </c>
      <c r="L86" s="8" t="str">
        <f t="shared" si="5"/>
        <v/>
      </c>
      <c r="M86" s="8" t="str">
        <f t="shared" si="5"/>
        <v/>
      </c>
      <c r="N86" s="8">
        <f t="shared" si="5"/>
        <v>75</v>
      </c>
      <c r="O86" s="8" t="str">
        <f t="shared" si="5"/>
        <v/>
      </c>
      <c r="P86" s="8" t="str">
        <f t="shared" si="5"/>
        <v/>
      </c>
      <c r="Q86" s="8" t="str">
        <f t="shared" si="5"/>
        <v/>
      </c>
      <c r="R86" s="8" t="str">
        <f t="shared" si="5"/>
        <v/>
      </c>
      <c r="S86" s="8" t="str">
        <f t="shared" si="5"/>
        <v/>
      </c>
      <c r="T86" s="8" t="str">
        <f t="shared" si="5"/>
        <v/>
      </c>
      <c r="U86" s="150"/>
      <c r="V86" s="8" t="str">
        <f t="shared" ref="V86:AL86" si="6">IF(COUNT(V8:V82)=0,"",COUNT(V8:V82))</f>
        <v/>
      </c>
      <c r="W86" s="8" t="str">
        <f t="shared" si="6"/>
        <v/>
      </c>
      <c r="X86" s="8" t="str">
        <f t="shared" si="6"/>
        <v/>
      </c>
      <c r="Y86" s="8" t="str">
        <f t="shared" si="6"/>
        <v/>
      </c>
      <c r="Z86" s="8" t="str">
        <f t="shared" si="6"/>
        <v/>
      </c>
      <c r="AA86" s="8" t="str">
        <f t="shared" si="6"/>
        <v/>
      </c>
      <c r="AB86" s="8" t="str">
        <f t="shared" si="6"/>
        <v/>
      </c>
      <c r="AC86" s="8" t="str">
        <f t="shared" si="6"/>
        <v/>
      </c>
      <c r="AD86" s="8" t="str">
        <f t="shared" si="6"/>
        <v/>
      </c>
      <c r="AE86" s="8" t="str">
        <f t="shared" si="6"/>
        <v/>
      </c>
      <c r="AF86" s="8">
        <f t="shared" si="6"/>
        <v>75</v>
      </c>
      <c r="AG86" s="8" t="str">
        <f t="shared" si="6"/>
        <v/>
      </c>
      <c r="AH86" s="8" t="str">
        <f t="shared" si="6"/>
        <v/>
      </c>
      <c r="AI86" s="8" t="str">
        <f t="shared" si="6"/>
        <v/>
      </c>
      <c r="AJ86" s="8" t="str">
        <f t="shared" si="6"/>
        <v/>
      </c>
      <c r="AK86" s="8" t="str">
        <f t="shared" si="6"/>
        <v/>
      </c>
      <c r="AL86" s="8" t="str">
        <f t="shared" si="6"/>
        <v/>
      </c>
      <c r="AM86" s="150"/>
      <c r="AN86" s="8" t="str">
        <f t="shared" ref="AN86:BD86" si="7">IF(COUNT(AN8:AN82)=0,"",COUNT(AN8:AN82))</f>
        <v/>
      </c>
      <c r="AO86" s="8" t="str">
        <f t="shared" si="7"/>
        <v/>
      </c>
      <c r="AP86" s="8" t="str">
        <f t="shared" si="7"/>
        <v/>
      </c>
      <c r="AQ86" s="8" t="str">
        <f t="shared" si="7"/>
        <v/>
      </c>
      <c r="AR86" s="8" t="str">
        <f t="shared" si="7"/>
        <v/>
      </c>
      <c r="AS86" s="8" t="str">
        <f t="shared" si="7"/>
        <v/>
      </c>
      <c r="AT86" s="8" t="str">
        <f t="shared" si="7"/>
        <v/>
      </c>
      <c r="AU86" s="8" t="str">
        <f t="shared" si="7"/>
        <v/>
      </c>
      <c r="AV86" s="8" t="str">
        <f t="shared" si="7"/>
        <v/>
      </c>
      <c r="AW86" s="8" t="str">
        <f t="shared" si="7"/>
        <v/>
      </c>
      <c r="AX86" s="8" t="str">
        <f t="shared" si="7"/>
        <v/>
      </c>
      <c r="AY86" s="8" t="str">
        <f t="shared" si="7"/>
        <v/>
      </c>
      <c r="AZ86" s="8" t="str">
        <f t="shared" si="7"/>
        <v/>
      </c>
      <c r="BA86" s="8" t="str">
        <f t="shared" si="7"/>
        <v/>
      </c>
      <c r="BB86" s="8" t="str">
        <f t="shared" si="7"/>
        <v/>
      </c>
      <c r="BC86" s="8" t="str">
        <f t="shared" si="7"/>
        <v/>
      </c>
      <c r="BD86" s="8" t="str">
        <f t="shared" si="7"/>
        <v/>
      </c>
      <c r="BE86" s="166"/>
      <c r="BF86" s="8" t="str">
        <f>IF(COUNT(BF8:BF82)=0,"",COUNT(BF8:BF82))</f>
        <v/>
      </c>
    </row>
    <row r="87" spans="1:58" ht="18" customHeight="1">
      <c r="A87" s="150"/>
      <c r="B87" s="152" t="s">
        <v>120</v>
      </c>
      <c r="C87" s="126"/>
      <c r="D87" s="8" t="str">
        <f t="shared" ref="D87:T87" si="8">D7</f>
        <v/>
      </c>
      <c r="E87" s="8" t="str">
        <f t="shared" si="8"/>
        <v/>
      </c>
      <c r="F87" s="8" t="str">
        <f t="shared" si="8"/>
        <v/>
      </c>
      <c r="G87" s="8" t="str">
        <f t="shared" si="8"/>
        <v/>
      </c>
      <c r="H87" s="8" t="str">
        <f t="shared" si="8"/>
        <v/>
      </c>
      <c r="I87" s="8" t="str">
        <f t="shared" si="8"/>
        <v/>
      </c>
      <c r="J87" s="8" t="str">
        <f t="shared" si="8"/>
        <v/>
      </c>
      <c r="K87" s="8" t="str">
        <f t="shared" si="8"/>
        <v/>
      </c>
      <c r="L87" s="8" t="str">
        <f t="shared" si="8"/>
        <v/>
      </c>
      <c r="M87" s="8" t="str">
        <f t="shared" si="8"/>
        <v/>
      </c>
      <c r="N87" s="8" t="str">
        <f t="shared" si="8"/>
        <v/>
      </c>
      <c r="O87" s="8" t="str">
        <f t="shared" si="8"/>
        <v/>
      </c>
      <c r="P87" s="8" t="str">
        <f t="shared" si="8"/>
        <v/>
      </c>
      <c r="Q87" s="8" t="str">
        <f t="shared" si="8"/>
        <v/>
      </c>
      <c r="R87" s="8" t="str">
        <f t="shared" si="8"/>
        <v/>
      </c>
      <c r="S87" s="8" t="str">
        <f t="shared" si="8"/>
        <v/>
      </c>
      <c r="T87" s="8" t="str">
        <f t="shared" si="8"/>
        <v/>
      </c>
      <c r="U87" s="150"/>
      <c r="V87" s="8" t="str">
        <f t="shared" ref="V87:AL87" si="9">V7</f>
        <v/>
      </c>
      <c r="W87" s="8" t="str">
        <f t="shared" si="9"/>
        <v/>
      </c>
      <c r="X87" s="8" t="str">
        <f t="shared" si="9"/>
        <v/>
      </c>
      <c r="Y87" s="8" t="str">
        <f t="shared" si="9"/>
        <v/>
      </c>
      <c r="Z87" s="8" t="str">
        <f t="shared" si="9"/>
        <v/>
      </c>
      <c r="AA87" s="8" t="str">
        <f t="shared" si="9"/>
        <v/>
      </c>
      <c r="AB87" s="8" t="str">
        <f t="shared" si="9"/>
        <v/>
      </c>
      <c r="AC87" s="8" t="str">
        <f t="shared" si="9"/>
        <v/>
      </c>
      <c r="AD87" s="8" t="str">
        <f t="shared" si="9"/>
        <v/>
      </c>
      <c r="AE87" s="8" t="str">
        <f t="shared" si="9"/>
        <v/>
      </c>
      <c r="AF87" s="8" t="str">
        <f t="shared" si="9"/>
        <v/>
      </c>
      <c r="AG87" s="8" t="str">
        <f t="shared" si="9"/>
        <v/>
      </c>
      <c r="AH87" s="8" t="str">
        <f t="shared" si="9"/>
        <v/>
      </c>
      <c r="AI87" s="8" t="str">
        <f t="shared" si="9"/>
        <v/>
      </c>
      <c r="AJ87" s="8" t="str">
        <f t="shared" si="9"/>
        <v/>
      </c>
      <c r="AK87" s="8" t="str">
        <f t="shared" si="9"/>
        <v/>
      </c>
      <c r="AL87" s="8" t="str">
        <f t="shared" si="9"/>
        <v/>
      </c>
      <c r="AM87" s="150"/>
      <c r="AN87" s="8" t="str">
        <f t="shared" ref="AN87:AU87" si="10">AN7</f>
        <v/>
      </c>
      <c r="AO87" s="8" t="str">
        <f t="shared" si="10"/>
        <v/>
      </c>
      <c r="AP87" s="8" t="str">
        <f t="shared" si="10"/>
        <v/>
      </c>
      <c r="AQ87" s="8" t="str">
        <f t="shared" si="10"/>
        <v/>
      </c>
      <c r="AR87" s="8" t="str">
        <f t="shared" si="10"/>
        <v/>
      </c>
      <c r="AS87" s="8" t="str">
        <f t="shared" si="10"/>
        <v/>
      </c>
      <c r="AT87" s="8" t="str">
        <f t="shared" si="10"/>
        <v/>
      </c>
      <c r="AU87" s="8" t="str">
        <f t="shared" si="10"/>
        <v/>
      </c>
      <c r="AV87" s="8" t="e">
        <f>#REF!</f>
        <v>#REF!</v>
      </c>
      <c r="AW87" s="8" t="str">
        <f>AV7</f>
        <v>RT2</v>
      </c>
      <c r="AX87" s="8" t="str">
        <f t="shared" ref="AX87:BD87" si="11">AX7</f>
        <v/>
      </c>
      <c r="AY87" s="8" t="str">
        <f t="shared" si="11"/>
        <v/>
      </c>
      <c r="AZ87" s="8" t="str">
        <f t="shared" si="11"/>
        <v/>
      </c>
      <c r="BA87" s="8" t="str">
        <f t="shared" si="11"/>
        <v/>
      </c>
      <c r="BB87" s="8" t="str">
        <f t="shared" si="11"/>
        <v/>
      </c>
      <c r="BC87" s="8" t="str">
        <f t="shared" si="11"/>
        <v/>
      </c>
      <c r="BD87" s="8" t="str">
        <f t="shared" si="11"/>
        <v/>
      </c>
      <c r="BE87" s="166"/>
      <c r="BF87" s="8">
        <f>'Course Information'!N9</f>
        <v>50</v>
      </c>
    </row>
    <row r="88" spans="1:58" ht="18" customHeight="1">
      <c r="A88" s="150"/>
      <c r="B88" s="45">
        <f>'Course Information'!F9</f>
        <v>0</v>
      </c>
      <c r="C88" s="46" t="s">
        <v>121</v>
      </c>
      <c r="D88" s="8" t="str">
        <f t="shared" ref="D88:T88" si="12">IFERROR(ROUNDDOWN(($B$88/100)*D87,0),"")</f>
        <v/>
      </c>
      <c r="E88" s="8" t="str">
        <f t="shared" si="12"/>
        <v/>
      </c>
      <c r="F88" s="8" t="str">
        <f t="shared" si="12"/>
        <v/>
      </c>
      <c r="G88" s="8" t="str">
        <f t="shared" si="12"/>
        <v/>
      </c>
      <c r="H88" s="8" t="str">
        <f t="shared" si="12"/>
        <v/>
      </c>
      <c r="I88" s="8" t="str">
        <f t="shared" si="12"/>
        <v/>
      </c>
      <c r="J88" s="8" t="str">
        <f t="shared" si="12"/>
        <v/>
      </c>
      <c r="K88" s="8" t="str">
        <f t="shared" si="12"/>
        <v/>
      </c>
      <c r="L88" s="8" t="str">
        <f t="shared" si="12"/>
        <v/>
      </c>
      <c r="M88" s="8" t="str">
        <f t="shared" si="12"/>
        <v/>
      </c>
      <c r="N88" s="8" t="str">
        <f t="shared" si="12"/>
        <v/>
      </c>
      <c r="O88" s="8" t="str">
        <f t="shared" si="12"/>
        <v/>
      </c>
      <c r="P88" s="8" t="str">
        <f t="shared" si="12"/>
        <v/>
      </c>
      <c r="Q88" s="8" t="str">
        <f t="shared" si="12"/>
        <v/>
      </c>
      <c r="R88" s="8" t="str">
        <f t="shared" si="12"/>
        <v/>
      </c>
      <c r="S88" s="8" t="str">
        <f t="shared" si="12"/>
        <v/>
      </c>
      <c r="T88" s="8" t="str">
        <f t="shared" si="12"/>
        <v/>
      </c>
      <c r="U88" s="150"/>
      <c r="V88" s="8" t="str">
        <f t="shared" ref="V88:AL88" si="13">IFERROR(ROUNDDOWN(($B$88/100)*V87,0),"")</f>
        <v/>
      </c>
      <c r="W88" s="8" t="str">
        <f t="shared" si="13"/>
        <v/>
      </c>
      <c r="X88" s="8" t="str">
        <f t="shared" si="13"/>
        <v/>
      </c>
      <c r="Y88" s="8" t="str">
        <f t="shared" si="13"/>
        <v/>
      </c>
      <c r="Z88" s="8" t="str">
        <f t="shared" si="13"/>
        <v/>
      </c>
      <c r="AA88" s="8" t="str">
        <f t="shared" si="13"/>
        <v/>
      </c>
      <c r="AB88" s="8" t="str">
        <f t="shared" si="13"/>
        <v/>
      </c>
      <c r="AC88" s="8" t="str">
        <f t="shared" si="13"/>
        <v/>
      </c>
      <c r="AD88" s="8" t="str">
        <f t="shared" si="13"/>
        <v/>
      </c>
      <c r="AE88" s="8" t="str">
        <f t="shared" si="13"/>
        <v/>
      </c>
      <c r="AF88" s="8" t="str">
        <f t="shared" si="13"/>
        <v/>
      </c>
      <c r="AG88" s="8" t="str">
        <f t="shared" si="13"/>
        <v/>
      </c>
      <c r="AH88" s="8" t="str">
        <f t="shared" si="13"/>
        <v/>
      </c>
      <c r="AI88" s="8" t="str">
        <f t="shared" si="13"/>
        <v/>
      </c>
      <c r="AJ88" s="8" t="str">
        <f t="shared" si="13"/>
        <v/>
      </c>
      <c r="AK88" s="8" t="str">
        <f t="shared" si="13"/>
        <v/>
      </c>
      <c r="AL88" s="8" t="str">
        <f t="shared" si="13"/>
        <v/>
      </c>
      <c r="AM88" s="150"/>
      <c r="AN88" s="8" t="str">
        <f t="shared" ref="AN88:BD88" si="14">IFERROR(ROUNDDOWN(($B$88/100)*AN87,0),"")</f>
        <v/>
      </c>
      <c r="AO88" s="8" t="str">
        <f t="shared" si="14"/>
        <v/>
      </c>
      <c r="AP88" s="8" t="str">
        <f t="shared" si="14"/>
        <v/>
      </c>
      <c r="AQ88" s="8" t="str">
        <f t="shared" si="14"/>
        <v/>
      </c>
      <c r="AR88" s="8" t="str">
        <f t="shared" si="14"/>
        <v/>
      </c>
      <c r="AS88" s="8" t="str">
        <f t="shared" si="14"/>
        <v/>
      </c>
      <c r="AT88" s="8" t="str">
        <f t="shared" si="14"/>
        <v/>
      </c>
      <c r="AU88" s="8" t="str">
        <f t="shared" si="14"/>
        <v/>
      </c>
      <c r="AV88" s="8" t="str">
        <f t="shared" si="14"/>
        <v/>
      </c>
      <c r="AW88" s="8" t="str">
        <f t="shared" si="14"/>
        <v/>
      </c>
      <c r="AX88" s="8" t="str">
        <f t="shared" si="14"/>
        <v/>
      </c>
      <c r="AY88" s="8" t="str">
        <f t="shared" si="14"/>
        <v/>
      </c>
      <c r="AZ88" s="8" t="str">
        <f t="shared" si="14"/>
        <v/>
      </c>
      <c r="BA88" s="8" t="str">
        <f t="shared" si="14"/>
        <v/>
      </c>
      <c r="BB88" s="8" t="str">
        <f t="shared" si="14"/>
        <v/>
      </c>
      <c r="BC88" s="8" t="str">
        <f t="shared" si="14"/>
        <v/>
      </c>
      <c r="BD88" s="8" t="str">
        <f t="shared" si="14"/>
        <v/>
      </c>
      <c r="BE88" s="166"/>
      <c r="BF88" s="8">
        <f>IFERROR(ROUNDUP(($B$88/100)*BF87,0),"")</f>
        <v>0</v>
      </c>
    </row>
    <row r="89" spans="1:58" ht="18" customHeight="1">
      <c r="A89" s="150"/>
      <c r="B89" s="152" t="s">
        <v>122</v>
      </c>
      <c r="C89" s="126"/>
      <c r="D89" s="8" t="str">
        <f t="shared" ref="D89:T89" si="15">IF(COUNTIF(D8:D82,"&gt;="&amp;D88)=0,"NA",COUNTIF(D8:D82,"&gt;="&amp;D88))</f>
        <v>NA</v>
      </c>
      <c r="E89" s="8" t="str">
        <f t="shared" si="15"/>
        <v>NA</v>
      </c>
      <c r="F89" s="8" t="str">
        <f t="shared" si="15"/>
        <v>NA</v>
      </c>
      <c r="G89" s="8" t="str">
        <f t="shared" si="15"/>
        <v>NA</v>
      </c>
      <c r="H89" s="8" t="str">
        <f t="shared" si="15"/>
        <v>NA</v>
      </c>
      <c r="I89" s="8" t="str">
        <f t="shared" si="15"/>
        <v>NA</v>
      </c>
      <c r="J89" s="8" t="str">
        <f t="shared" si="15"/>
        <v>NA</v>
      </c>
      <c r="K89" s="8" t="str">
        <f t="shared" si="15"/>
        <v>NA</v>
      </c>
      <c r="L89" s="8" t="str">
        <f t="shared" si="15"/>
        <v>NA</v>
      </c>
      <c r="M89" s="8" t="str">
        <f t="shared" si="15"/>
        <v>NA</v>
      </c>
      <c r="N89" s="8" t="str">
        <f t="shared" si="15"/>
        <v>NA</v>
      </c>
      <c r="O89" s="8" t="str">
        <f t="shared" si="15"/>
        <v>NA</v>
      </c>
      <c r="P89" s="8" t="str">
        <f t="shared" si="15"/>
        <v>NA</v>
      </c>
      <c r="Q89" s="8" t="str">
        <f t="shared" si="15"/>
        <v>NA</v>
      </c>
      <c r="R89" s="8" t="str">
        <f t="shared" si="15"/>
        <v>NA</v>
      </c>
      <c r="S89" s="8" t="str">
        <f t="shared" si="15"/>
        <v>NA</v>
      </c>
      <c r="T89" s="8" t="str">
        <f t="shared" si="15"/>
        <v>NA</v>
      </c>
      <c r="U89" s="150"/>
      <c r="V89" s="8" t="str">
        <f t="shared" ref="V89:AL89" si="16">IF(COUNTIF(V8:V82,"&gt;="&amp;V88)=0,"NA",COUNTIF(V8:V82,"&gt;="&amp;V88))</f>
        <v>NA</v>
      </c>
      <c r="W89" s="8" t="str">
        <f t="shared" si="16"/>
        <v>NA</v>
      </c>
      <c r="X89" s="8" t="str">
        <f t="shared" si="16"/>
        <v>NA</v>
      </c>
      <c r="Y89" s="8" t="str">
        <f t="shared" si="16"/>
        <v>NA</v>
      </c>
      <c r="Z89" s="8" t="str">
        <f t="shared" si="16"/>
        <v>NA</v>
      </c>
      <c r="AA89" s="8" t="str">
        <f t="shared" si="16"/>
        <v>NA</v>
      </c>
      <c r="AB89" s="8" t="str">
        <f t="shared" si="16"/>
        <v>NA</v>
      </c>
      <c r="AC89" s="8" t="str">
        <f t="shared" si="16"/>
        <v>NA</v>
      </c>
      <c r="AD89" s="8" t="str">
        <f t="shared" si="16"/>
        <v>NA</v>
      </c>
      <c r="AE89" s="8" t="str">
        <f t="shared" si="16"/>
        <v>NA</v>
      </c>
      <c r="AF89" s="8" t="str">
        <f t="shared" si="16"/>
        <v>NA</v>
      </c>
      <c r="AG89" s="8" t="str">
        <f t="shared" si="16"/>
        <v>NA</v>
      </c>
      <c r="AH89" s="8" t="str">
        <f t="shared" si="16"/>
        <v>NA</v>
      </c>
      <c r="AI89" s="8" t="str">
        <f t="shared" si="16"/>
        <v>NA</v>
      </c>
      <c r="AJ89" s="8" t="str">
        <f t="shared" si="16"/>
        <v>NA</v>
      </c>
      <c r="AK89" s="8" t="str">
        <f t="shared" si="16"/>
        <v>NA</v>
      </c>
      <c r="AL89" s="8" t="str">
        <f t="shared" si="16"/>
        <v>NA</v>
      </c>
      <c r="AM89" s="150"/>
      <c r="AN89" s="8" t="str">
        <f t="shared" ref="AN89:BD89" si="17">IF(COUNTIF(AN8:AN82,"&gt;="&amp;AN88)=0,"NA",COUNTIF(AN8:AN82,"&gt;="&amp;AN88))</f>
        <v>NA</v>
      </c>
      <c r="AO89" s="8" t="str">
        <f t="shared" si="17"/>
        <v>NA</v>
      </c>
      <c r="AP89" s="8" t="str">
        <f t="shared" si="17"/>
        <v>NA</v>
      </c>
      <c r="AQ89" s="8" t="str">
        <f t="shared" si="17"/>
        <v>NA</v>
      </c>
      <c r="AR89" s="8" t="str">
        <f t="shared" si="17"/>
        <v>NA</v>
      </c>
      <c r="AS89" s="8" t="str">
        <f t="shared" si="17"/>
        <v>NA</v>
      </c>
      <c r="AT89" s="8" t="str">
        <f t="shared" si="17"/>
        <v>NA</v>
      </c>
      <c r="AU89" s="8" t="str">
        <f t="shared" si="17"/>
        <v>NA</v>
      </c>
      <c r="AV89" s="8" t="str">
        <f t="shared" si="17"/>
        <v>NA</v>
      </c>
      <c r="AW89" s="8" t="str">
        <f t="shared" si="17"/>
        <v>NA</v>
      </c>
      <c r="AX89" s="8" t="str">
        <f t="shared" si="17"/>
        <v>NA</v>
      </c>
      <c r="AY89" s="8" t="str">
        <f t="shared" si="17"/>
        <v>NA</v>
      </c>
      <c r="AZ89" s="8" t="str">
        <f t="shared" si="17"/>
        <v>NA</v>
      </c>
      <c r="BA89" s="8" t="str">
        <f t="shared" si="17"/>
        <v>NA</v>
      </c>
      <c r="BB89" s="8" t="str">
        <f t="shared" si="17"/>
        <v>NA</v>
      </c>
      <c r="BC89" s="8" t="str">
        <f t="shared" si="17"/>
        <v>NA</v>
      </c>
      <c r="BD89" s="8" t="str">
        <f t="shared" si="17"/>
        <v>NA</v>
      </c>
      <c r="BE89" s="166"/>
      <c r="BF89" s="8">
        <f>IF(COUNTIF(BF8:BF82,"&gt;="&amp;BF88)=0,0,COUNTIF(BF8:BF82,"&gt;="&amp;BF88))</f>
        <v>0</v>
      </c>
    </row>
    <row r="90" spans="1:58" ht="18" customHeight="1">
      <c r="A90" s="151"/>
      <c r="B90" s="152" t="s">
        <v>128</v>
      </c>
      <c r="C90" s="126"/>
      <c r="D90" s="47" t="str">
        <f t="shared" ref="D90:T90" si="18">IFERROR(ROUNDUP((D89/D86)*100,0),"")</f>
        <v/>
      </c>
      <c r="E90" s="47" t="str">
        <f t="shared" si="18"/>
        <v/>
      </c>
      <c r="F90" s="47" t="str">
        <f t="shared" si="18"/>
        <v/>
      </c>
      <c r="G90" s="47" t="str">
        <f t="shared" si="18"/>
        <v/>
      </c>
      <c r="H90" s="47" t="str">
        <f t="shared" si="18"/>
        <v/>
      </c>
      <c r="I90" s="47" t="str">
        <f t="shared" si="18"/>
        <v/>
      </c>
      <c r="J90" s="47" t="str">
        <f t="shared" si="18"/>
        <v/>
      </c>
      <c r="K90" s="47" t="str">
        <f t="shared" si="18"/>
        <v/>
      </c>
      <c r="L90" s="47" t="str">
        <f t="shared" si="18"/>
        <v/>
      </c>
      <c r="M90" s="47" t="str">
        <f t="shared" si="18"/>
        <v/>
      </c>
      <c r="N90" s="47" t="str">
        <f t="shared" si="18"/>
        <v/>
      </c>
      <c r="O90" s="47" t="str">
        <f t="shared" si="18"/>
        <v/>
      </c>
      <c r="P90" s="47" t="str">
        <f t="shared" si="18"/>
        <v/>
      </c>
      <c r="Q90" s="47" t="str">
        <f t="shared" si="18"/>
        <v/>
      </c>
      <c r="R90" s="47" t="str">
        <f t="shared" si="18"/>
        <v/>
      </c>
      <c r="S90" s="47" t="str">
        <f t="shared" si="18"/>
        <v/>
      </c>
      <c r="T90" s="47" t="str">
        <f t="shared" si="18"/>
        <v/>
      </c>
      <c r="U90" s="151"/>
      <c r="V90" s="47" t="str">
        <f t="shared" ref="V90:AL90" si="19">IFERROR(ROUNDUP((V89/V86)*100,0),"")</f>
        <v/>
      </c>
      <c r="W90" s="47" t="str">
        <f t="shared" si="19"/>
        <v/>
      </c>
      <c r="X90" s="47" t="str">
        <f t="shared" si="19"/>
        <v/>
      </c>
      <c r="Y90" s="47" t="str">
        <f t="shared" si="19"/>
        <v/>
      </c>
      <c r="Z90" s="47" t="str">
        <f t="shared" si="19"/>
        <v/>
      </c>
      <c r="AA90" s="47" t="str">
        <f t="shared" si="19"/>
        <v/>
      </c>
      <c r="AB90" s="47" t="str">
        <f t="shared" si="19"/>
        <v/>
      </c>
      <c r="AC90" s="47" t="str">
        <f t="shared" si="19"/>
        <v/>
      </c>
      <c r="AD90" s="47" t="str">
        <f t="shared" si="19"/>
        <v/>
      </c>
      <c r="AE90" s="47" t="str">
        <f t="shared" si="19"/>
        <v/>
      </c>
      <c r="AF90" s="47" t="str">
        <f t="shared" si="19"/>
        <v/>
      </c>
      <c r="AG90" s="47" t="str">
        <f t="shared" si="19"/>
        <v/>
      </c>
      <c r="AH90" s="47" t="str">
        <f t="shared" si="19"/>
        <v/>
      </c>
      <c r="AI90" s="47" t="str">
        <f t="shared" si="19"/>
        <v/>
      </c>
      <c r="AJ90" s="47" t="str">
        <f t="shared" si="19"/>
        <v/>
      </c>
      <c r="AK90" s="47" t="str">
        <f t="shared" si="19"/>
        <v/>
      </c>
      <c r="AL90" s="47" t="str">
        <f t="shared" si="19"/>
        <v/>
      </c>
      <c r="AM90" s="151"/>
      <c r="AN90" s="47" t="str">
        <f t="shared" ref="AN90:BD90" si="20">IFERROR(ROUNDUP((AN89/AN86)*100,0),"")</f>
        <v/>
      </c>
      <c r="AO90" s="47" t="str">
        <f t="shared" si="20"/>
        <v/>
      </c>
      <c r="AP90" s="47" t="str">
        <f t="shared" si="20"/>
        <v/>
      </c>
      <c r="AQ90" s="47" t="str">
        <f t="shared" si="20"/>
        <v/>
      </c>
      <c r="AR90" s="47" t="str">
        <f t="shared" si="20"/>
        <v/>
      </c>
      <c r="AS90" s="47" t="str">
        <f t="shared" si="20"/>
        <v/>
      </c>
      <c r="AT90" s="47" t="str">
        <f t="shared" si="20"/>
        <v/>
      </c>
      <c r="AU90" s="47" t="str">
        <f t="shared" si="20"/>
        <v/>
      </c>
      <c r="AV90" s="47" t="str">
        <f t="shared" si="20"/>
        <v/>
      </c>
      <c r="AW90" s="47" t="str">
        <f t="shared" si="20"/>
        <v/>
      </c>
      <c r="AX90" s="47" t="str">
        <f t="shared" si="20"/>
        <v/>
      </c>
      <c r="AY90" s="47" t="str">
        <f t="shared" si="20"/>
        <v/>
      </c>
      <c r="AZ90" s="47" t="str">
        <f t="shared" si="20"/>
        <v/>
      </c>
      <c r="BA90" s="47" t="str">
        <f t="shared" si="20"/>
        <v/>
      </c>
      <c r="BB90" s="47" t="str">
        <f t="shared" si="20"/>
        <v/>
      </c>
      <c r="BC90" s="47" t="str">
        <f t="shared" si="20"/>
        <v/>
      </c>
      <c r="BD90" s="47" t="str">
        <f t="shared" si="20"/>
        <v/>
      </c>
      <c r="BE90" s="167"/>
      <c r="BF90" s="47" t="str">
        <f>IFERROR(ROUNDUP((BF89/BF86)*100,0),"")</f>
        <v/>
      </c>
    </row>
    <row r="91" spans="1:58" ht="18" customHeight="1">
      <c r="A91" s="1"/>
      <c r="B91" s="153"/>
      <c r="C91" s="14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8" customHeight="1">
      <c r="A94" s="1"/>
      <c r="B94" s="1"/>
      <c r="C94" s="14" t="s">
        <v>140</v>
      </c>
      <c r="D94" s="14" t="s">
        <v>27</v>
      </c>
      <c r="E94" s="14" t="s">
        <v>132</v>
      </c>
      <c r="F94" s="14" t="s">
        <v>141</v>
      </c>
      <c r="G94" s="14" t="s">
        <v>142</v>
      </c>
      <c r="H94" s="14" t="s">
        <v>80</v>
      </c>
      <c r="I94" s="154"/>
      <c r="J94" s="52" t="s">
        <v>143</v>
      </c>
      <c r="K94" s="154"/>
      <c r="L94" s="52" t="s">
        <v>28</v>
      </c>
      <c r="M94" s="154"/>
      <c r="N94" s="53" t="s">
        <v>144</v>
      </c>
      <c r="O94" s="154"/>
      <c r="P94" s="53" t="s">
        <v>145</v>
      </c>
      <c r="Q94" s="156"/>
      <c r="R94" s="53" t="s">
        <v>146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8" customHeight="1">
      <c r="A95" s="1"/>
      <c r="B95" s="1"/>
      <c r="C95" s="54"/>
      <c r="D95" s="55" t="str">
        <f>'Course Information'!A13</f>
        <v>CO.1</v>
      </c>
      <c r="E95" s="8" t="str">
        <f>IFERROR(SUMIF($D$85:$S$85,D96,$D$90:$S$90)/COUNTIF($D$85:$S$85,D96),"")</f>
        <v/>
      </c>
      <c r="F95" s="8" t="str">
        <f t="shared" ref="F95:F100" si="21">IFERROR(SUMIF($V$85:$AK$85,D95,$V$90:$AK$90)/COUNTIF($V$85:$AK$85,D95),"")</f>
        <v/>
      </c>
      <c r="G95" s="8" t="str">
        <f t="shared" ref="G95:G100" si="22">IFERROR(SUMIF($AN$85:$BC$85,D95,$AN$90:$BC$90)/COUNTIF($AN$85:$BC$85,D95),"")</f>
        <v/>
      </c>
      <c r="H95" s="8" t="str">
        <f t="shared" ref="H95:H100" si="23">IF($T$85=D95,$T$90,IF($AL$85=D95,$AL$90,IF($BD$85=D95,$BD$90,"")))</f>
        <v/>
      </c>
      <c r="I95" s="150"/>
      <c r="J95" s="56" t="str">
        <f t="shared" ref="J95:J100" si="24">IFERROR(SUM(E95:H95)/(COUNT(E95:H95)),"")</f>
        <v/>
      </c>
      <c r="K95" s="150"/>
      <c r="L95" s="8" t="str">
        <f t="shared" ref="L95:L100" si="25">$BF$90</f>
        <v/>
      </c>
      <c r="M95" s="150"/>
      <c r="N95" s="8" t="str">
        <f t="shared" ref="N95:N100" si="26">IFERROR(ROUNDUP((0.5*L95)+(0.5*J95),2),"")</f>
        <v/>
      </c>
      <c r="O95" s="150"/>
      <c r="P95" s="8">
        <f t="shared" ref="P95:P100" si="27">IFERROR(ROUNDUP((C95/3)*100,2),"")</f>
        <v>0</v>
      </c>
      <c r="Q95" s="150"/>
      <c r="R95" s="26" t="str">
        <f t="shared" ref="R95:R100" si="28">IFERROR(ROUNDUP((0.8*N95)+(0.2*P95),2),"")</f>
        <v/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8" customHeight="1">
      <c r="A96" s="1"/>
      <c r="B96" s="1"/>
      <c r="C96" s="54"/>
      <c r="D96" s="55" t="str">
        <f>'Course Information'!A14</f>
        <v>CO.2</v>
      </c>
      <c r="E96" s="8" t="str">
        <f t="shared" ref="E96:E100" si="29">IFERROR(SUMIF($D$85:$S$85,D96,$D$90:$S$90)/COUNTIF($D$85:$S$85,D96),"")</f>
        <v/>
      </c>
      <c r="F96" s="8" t="str">
        <f t="shared" si="21"/>
        <v/>
      </c>
      <c r="G96" s="8" t="str">
        <f t="shared" si="22"/>
        <v/>
      </c>
      <c r="H96" s="8" t="str">
        <f t="shared" si="23"/>
        <v/>
      </c>
      <c r="I96" s="150"/>
      <c r="J96" s="56" t="str">
        <f t="shared" si="24"/>
        <v/>
      </c>
      <c r="K96" s="150"/>
      <c r="L96" s="8" t="str">
        <f t="shared" si="25"/>
        <v/>
      </c>
      <c r="M96" s="150"/>
      <c r="N96" s="8" t="str">
        <f t="shared" si="26"/>
        <v/>
      </c>
      <c r="O96" s="150"/>
      <c r="P96" s="8">
        <f t="shared" si="27"/>
        <v>0</v>
      </c>
      <c r="Q96" s="150"/>
      <c r="R96" s="26" t="str">
        <f t="shared" si="28"/>
        <v/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8" customHeight="1">
      <c r="A97" s="1"/>
      <c r="B97" s="1"/>
      <c r="C97" s="54"/>
      <c r="D97" s="55" t="str">
        <f>'Course Information'!A15</f>
        <v>CO.3</v>
      </c>
      <c r="E97" s="8" t="str">
        <f t="shared" si="29"/>
        <v/>
      </c>
      <c r="F97" s="8" t="str">
        <f t="shared" si="21"/>
        <v/>
      </c>
      <c r="G97" s="8" t="str">
        <f t="shared" si="22"/>
        <v/>
      </c>
      <c r="H97" s="8" t="str">
        <f t="shared" si="23"/>
        <v/>
      </c>
      <c r="I97" s="150"/>
      <c r="J97" s="56" t="str">
        <f t="shared" si="24"/>
        <v/>
      </c>
      <c r="K97" s="150"/>
      <c r="L97" s="8" t="str">
        <f t="shared" si="25"/>
        <v/>
      </c>
      <c r="M97" s="150"/>
      <c r="N97" s="8" t="str">
        <f t="shared" si="26"/>
        <v/>
      </c>
      <c r="O97" s="150"/>
      <c r="P97" s="8">
        <f t="shared" si="27"/>
        <v>0</v>
      </c>
      <c r="Q97" s="150"/>
      <c r="R97" s="26" t="str">
        <f t="shared" si="28"/>
        <v/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8" customHeight="1">
      <c r="A98" s="1"/>
      <c r="B98" s="1"/>
      <c r="C98" s="54"/>
      <c r="D98" s="55" t="str">
        <f>'Course Information'!A16</f>
        <v>CO.4</v>
      </c>
      <c r="E98" s="8" t="str">
        <f t="shared" si="29"/>
        <v/>
      </c>
      <c r="F98" s="8" t="str">
        <f t="shared" si="21"/>
        <v/>
      </c>
      <c r="G98" s="8" t="str">
        <f t="shared" si="22"/>
        <v/>
      </c>
      <c r="H98" s="8" t="str">
        <f t="shared" si="23"/>
        <v/>
      </c>
      <c r="I98" s="150"/>
      <c r="J98" s="56" t="str">
        <f t="shared" si="24"/>
        <v/>
      </c>
      <c r="K98" s="150"/>
      <c r="L98" s="8" t="str">
        <f t="shared" si="25"/>
        <v/>
      </c>
      <c r="M98" s="150"/>
      <c r="N98" s="8" t="str">
        <f t="shared" si="26"/>
        <v/>
      </c>
      <c r="O98" s="150"/>
      <c r="P98" s="8">
        <f t="shared" si="27"/>
        <v>0</v>
      </c>
      <c r="Q98" s="150"/>
      <c r="R98" s="26" t="str">
        <f t="shared" si="28"/>
        <v/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8" customHeight="1">
      <c r="A99" s="1"/>
      <c r="B99" s="1"/>
      <c r="C99" s="54"/>
      <c r="D99" s="55" t="str">
        <f>'Course Information'!A17</f>
        <v>CO.5</v>
      </c>
      <c r="E99" s="8" t="str">
        <f t="shared" si="29"/>
        <v/>
      </c>
      <c r="F99" s="8" t="str">
        <f t="shared" si="21"/>
        <v/>
      </c>
      <c r="G99" s="8" t="str">
        <f t="shared" si="22"/>
        <v/>
      </c>
      <c r="H99" s="8" t="str">
        <f t="shared" si="23"/>
        <v/>
      </c>
      <c r="I99" s="150"/>
      <c r="J99" s="56" t="str">
        <f t="shared" si="24"/>
        <v/>
      </c>
      <c r="K99" s="150"/>
      <c r="L99" s="8" t="str">
        <f t="shared" si="25"/>
        <v/>
      </c>
      <c r="M99" s="150"/>
      <c r="N99" s="8" t="str">
        <f t="shared" si="26"/>
        <v/>
      </c>
      <c r="O99" s="150"/>
      <c r="P99" s="8">
        <f t="shared" si="27"/>
        <v>0</v>
      </c>
      <c r="Q99" s="150"/>
      <c r="R99" s="26" t="str">
        <f t="shared" si="28"/>
        <v/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8" customHeight="1">
      <c r="A100" s="1"/>
      <c r="B100" s="1"/>
      <c r="C100" s="54"/>
      <c r="D100" s="55" t="str">
        <f>'Course Information'!A18</f>
        <v>CO.6</v>
      </c>
      <c r="E100" s="8" t="str">
        <f t="shared" si="29"/>
        <v/>
      </c>
      <c r="F100" s="8" t="str">
        <f t="shared" si="21"/>
        <v/>
      </c>
      <c r="G100" s="8" t="str">
        <f t="shared" si="22"/>
        <v/>
      </c>
      <c r="H100" s="8" t="str">
        <f t="shared" si="23"/>
        <v/>
      </c>
      <c r="I100" s="151"/>
      <c r="J100" s="56" t="str">
        <f t="shared" si="24"/>
        <v/>
      </c>
      <c r="K100" s="151"/>
      <c r="L100" s="8" t="str">
        <f t="shared" si="25"/>
        <v/>
      </c>
      <c r="M100" s="151"/>
      <c r="N100" s="8" t="str">
        <f t="shared" si="26"/>
        <v/>
      </c>
      <c r="O100" s="155"/>
      <c r="P100" s="8">
        <f t="shared" si="27"/>
        <v>0</v>
      </c>
      <c r="Q100" s="155"/>
      <c r="R100" s="26" t="str">
        <f t="shared" si="28"/>
        <v/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2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</row>
    <row r="102" spans="1:58" ht="12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</row>
    <row r="103" spans="1:58" ht="12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</row>
    <row r="104" spans="1:58" ht="12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</row>
    <row r="105" spans="1:58" ht="12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</row>
    <row r="106" spans="1:58" ht="12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</row>
    <row r="107" spans="1:58" ht="12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</row>
    <row r="108" spans="1:58" ht="12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</row>
    <row r="109" spans="1:58" ht="12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</row>
    <row r="110" spans="1:58" ht="12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</row>
    <row r="111" spans="1:58" ht="12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</row>
    <row r="112" spans="1:58" ht="12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</row>
    <row r="113" spans="1:58" ht="12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</row>
    <row r="114" spans="1:58" ht="12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</row>
    <row r="115" spans="1:58" ht="12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</row>
    <row r="116" spans="1:58" ht="12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</row>
    <row r="117" spans="1:58" ht="12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</row>
    <row r="118" spans="1:58" ht="12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</row>
    <row r="119" spans="1:58" ht="12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</row>
    <row r="120" spans="1:58" ht="12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</row>
    <row r="121" spans="1:58" ht="12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</row>
    <row r="122" spans="1:58" ht="12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</row>
    <row r="123" spans="1:58" ht="12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</row>
    <row r="124" spans="1:58" ht="12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</row>
    <row r="125" spans="1:58" ht="12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</row>
    <row r="126" spans="1:58" ht="12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</row>
    <row r="127" spans="1:58" ht="12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</row>
    <row r="128" spans="1:58" ht="12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</row>
    <row r="129" spans="1:58" ht="12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</row>
    <row r="130" spans="1:58" ht="12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</row>
    <row r="131" spans="1:58" ht="12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</row>
    <row r="132" spans="1:58" ht="12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</row>
    <row r="133" spans="1:58" ht="12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</row>
    <row r="134" spans="1:58" ht="12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</row>
    <row r="135" spans="1:58" ht="12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</row>
    <row r="136" spans="1:58" ht="12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</row>
    <row r="137" spans="1:58" ht="12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</row>
    <row r="138" spans="1:58" ht="12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</row>
    <row r="139" spans="1:58" ht="12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</row>
    <row r="140" spans="1:58" ht="12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</row>
    <row r="141" spans="1:58" ht="12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</row>
    <row r="142" spans="1:58" ht="12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</row>
    <row r="143" spans="1:58" ht="12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</row>
    <row r="144" spans="1:58" ht="12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</row>
    <row r="145" spans="1:58" ht="12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</row>
    <row r="146" spans="1:58" ht="12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</row>
    <row r="147" spans="1:58" ht="12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</row>
    <row r="148" spans="1:58" ht="12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</row>
    <row r="149" spans="1:58" ht="12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</row>
    <row r="150" spans="1:58" ht="12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</row>
    <row r="151" spans="1:58" ht="12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</row>
    <row r="152" spans="1:58" ht="12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</row>
    <row r="153" spans="1:58" ht="12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</row>
    <row r="154" spans="1:58" ht="12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</row>
    <row r="155" spans="1:58" ht="12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</row>
    <row r="156" spans="1:58" ht="12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</row>
    <row r="157" spans="1:58" ht="12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</row>
    <row r="158" spans="1:58" ht="12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</row>
    <row r="159" spans="1:58" ht="12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</row>
    <row r="160" spans="1:58" ht="12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</row>
    <row r="161" spans="1:58" ht="12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</row>
    <row r="162" spans="1:58" ht="12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</row>
    <row r="163" spans="1:58" ht="12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</row>
    <row r="164" spans="1:58" ht="12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</row>
    <row r="165" spans="1:58" ht="12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</row>
    <row r="166" spans="1:58" ht="12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</row>
    <row r="167" spans="1:58" ht="12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</row>
    <row r="168" spans="1:58" ht="12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</row>
    <row r="169" spans="1:58" ht="12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</row>
    <row r="170" spans="1:58" ht="12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</row>
    <row r="171" spans="1:58" ht="12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</row>
    <row r="172" spans="1:58" ht="12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</row>
    <row r="173" spans="1:58" ht="12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</row>
    <row r="174" spans="1:58" ht="12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</row>
    <row r="175" spans="1:58" ht="12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</row>
    <row r="176" spans="1:58" ht="12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</row>
    <row r="177" spans="1:58" ht="12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</row>
    <row r="178" spans="1:58" ht="12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</row>
    <row r="179" spans="1:58" ht="12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</row>
    <row r="180" spans="1:58" ht="12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</row>
    <row r="181" spans="1:58" ht="12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</row>
    <row r="182" spans="1:58" ht="12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</row>
    <row r="183" spans="1:58" ht="12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</row>
    <row r="184" spans="1:58" ht="12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</row>
    <row r="185" spans="1:58" ht="12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</row>
    <row r="186" spans="1:58" ht="12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</row>
    <row r="187" spans="1:58" ht="12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</row>
    <row r="188" spans="1:58" ht="12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</row>
    <row r="189" spans="1:58" ht="12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</row>
    <row r="190" spans="1:58" ht="12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</row>
    <row r="191" spans="1:58" ht="12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</row>
    <row r="192" spans="1:58" ht="12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</row>
    <row r="193" spans="1:58" ht="12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</row>
    <row r="194" spans="1:58" ht="12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</row>
    <row r="195" spans="1:58" ht="12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</row>
    <row r="196" spans="1:58" ht="12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</row>
    <row r="197" spans="1:58" ht="12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</row>
    <row r="198" spans="1:58" ht="12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</row>
    <row r="199" spans="1:58" ht="12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</row>
    <row r="200" spans="1:58" ht="12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</row>
    <row r="201" spans="1:58" ht="12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</row>
    <row r="202" spans="1:58" ht="12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</row>
    <row r="203" spans="1:58" ht="12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</row>
    <row r="204" spans="1:58" ht="12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</row>
    <row r="205" spans="1:58" ht="12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</row>
    <row r="206" spans="1:58" ht="12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</row>
    <row r="207" spans="1:58" ht="12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</row>
    <row r="208" spans="1:58" ht="12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</row>
    <row r="209" spans="1:58" ht="12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</row>
    <row r="210" spans="1:58" ht="12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</row>
    <row r="211" spans="1:58" ht="12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</row>
    <row r="212" spans="1:58" ht="12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</row>
    <row r="213" spans="1:58" ht="12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</row>
    <row r="214" spans="1:58" ht="12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</row>
    <row r="215" spans="1:58" ht="12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</row>
    <row r="216" spans="1:58" ht="12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</row>
    <row r="217" spans="1:58" ht="12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</row>
    <row r="218" spans="1:58" ht="12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</row>
    <row r="219" spans="1:58" ht="12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</row>
    <row r="220" spans="1:58" ht="12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</row>
    <row r="221" spans="1:58" ht="12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</row>
    <row r="222" spans="1:58" ht="12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</row>
    <row r="223" spans="1:58" ht="12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</row>
    <row r="224" spans="1:58" ht="12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</row>
    <row r="225" spans="1:58" ht="12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</row>
    <row r="226" spans="1:58" ht="12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</row>
    <row r="227" spans="1:58" ht="12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</row>
    <row r="228" spans="1:58" ht="12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</row>
    <row r="229" spans="1:58" ht="12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</row>
    <row r="230" spans="1:58" ht="12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</row>
    <row r="231" spans="1:58" ht="12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</row>
    <row r="232" spans="1:58" ht="12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</row>
    <row r="233" spans="1:58" ht="12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</row>
    <row r="234" spans="1:58" ht="12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</row>
    <row r="235" spans="1:58" ht="12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</row>
    <row r="236" spans="1:58" ht="12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</row>
    <row r="237" spans="1:58" ht="12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</row>
    <row r="238" spans="1:58" ht="12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</row>
    <row r="239" spans="1:58" ht="12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</row>
    <row r="240" spans="1:58" ht="12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</row>
    <row r="241" spans="1:58" ht="12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</row>
    <row r="242" spans="1:58" ht="12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</row>
    <row r="243" spans="1:58" ht="12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</row>
    <row r="244" spans="1:58" ht="12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</row>
    <row r="245" spans="1:58" ht="12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</row>
    <row r="246" spans="1:58" ht="12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</row>
    <row r="247" spans="1:58" ht="12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</row>
    <row r="248" spans="1:58" ht="12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</row>
    <row r="249" spans="1:58" ht="12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</row>
    <row r="250" spans="1:58" ht="12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</row>
    <row r="251" spans="1:58" ht="12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</row>
    <row r="252" spans="1:58" ht="12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</row>
    <row r="253" spans="1:58" ht="12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</row>
    <row r="254" spans="1:58" ht="12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</row>
    <row r="255" spans="1:58" ht="12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</row>
    <row r="256" spans="1:58" ht="12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</row>
    <row r="257" spans="1:58" ht="12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</row>
    <row r="258" spans="1:58" ht="12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</row>
    <row r="259" spans="1:58" ht="12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</row>
    <row r="260" spans="1:58" ht="12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</row>
    <row r="261" spans="1:58" ht="12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</row>
    <row r="262" spans="1:58" ht="12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</row>
    <row r="263" spans="1:58" ht="12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</row>
    <row r="264" spans="1:58" ht="12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</row>
    <row r="265" spans="1:58" ht="12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</row>
    <row r="266" spans="1:58" ht="12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</row>
    <row r="267" spans="1:58" ht="12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</row>
    <row r="268" spans="1:58" ht="12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</row>
    <row r="269" spans="1:58" ht="12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</row>
    <row r="270" spans="1:58" ht="12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</row>
    <row r="271" spans="1:58" ht="12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</row>
    <row r="272" spans="1:58" ht="12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</row>
    <row r="273" spans="1:58" ht="12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</row>
    <row r="274" spans="1:58" ht="12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</row>
    <row r="275" spans="1:58" ht="12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</row>
    <row r="276" spans="1:58" ht="12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</row>
    <row r="277" spans="1:58" ht="12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</row>
    <row r="278" spans="1:58" ht="12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</row>
    <row r="279" spans="1:58" ht="12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</row>
    <row r="280" spans="1:58" ht="12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</row>
    <row r="281" spans="1:58" ht="12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</row>
    <row r="282" spans="1:58" ht="12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</row>
    <row r="283" spans="1:58" ht="12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</row>
    <row r="284" spans="1:58" ht="12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</row>
    <row r="285" spans="1:58" ht="12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</row>
    <row r="286" spans="1:58" ht="12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</row>
    <row r="287" spans="1:58" ht="12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</row>
    <row r="288" spans="1:58" ht="12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</row>
    <row r="289" spans="1:58" ht="12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</row>
    <row r="290" spans="1:58" ht="12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</row>
    <row r="291" spans="1:58" ht="12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</row>
    <row r="292" spans="1:58" ht="12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</row>
    <row r="293" spans="1:58" ht="12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</row>
    <row r="294" spans="1:58" ht="12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</row>
    <row r="295" spans="1:58" ht="12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</row>
    <row r="296" spans="1:58" ht="12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</row>
    <row r="297" spans="1:58" ht="12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</row>
    <row r="298" spans="1:58" ht="12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</row>
    <row r="299" spans="1:58" ht="12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</row>
    <row r="300" spans="1:58" ht="12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</row>
    <row r="301" spans="1:58" ht="15.75" customHeight="1"/>
    <row r="302" spans="1:58" ht="15.75" customHeight="1"/>
    <row r="303" spans="1:58" ht="15.75" customHeight="1"/>
    <row r="304" spans="1:5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N4:BD4"/>
    <mergeCell ref="BE4:BE90"/>
    <mergeCell ref="BF4:BF6"/>
    <mergeCell ref="AN5:AV5"/>
    <mergeCell ref="AW5:BD5"/>
    <mergeCell ref="AN83:BD83"/>
    <mergeCell ref="AN84:BD84"/>
    <mergeCell ref="A6:C6"/>
    <mergeCell ref="V83:AL83"/>
    <mergeCell ref="V84:AL84"/>
    <mergeCell ref="C1:T1"/>
    <mergeCell ref="C2:T2"/>
    <mergeCell ref="A4:C4"/>
    <mergeCell ref="D4:T4"/>
    <mergeCell ref="U4:U90"/>
    <mergeCell ref="V4:AL4"/>
    <mergeCell ref="A83:A90"/>
    <mergeCell ref="AM4:AM90"/>
    <mergeCell ref="B89:C89"/>
    <mergeCell ref="B90:C90"/>
    <mergeCell ref="B91:C91"/>
    <mergeCell ref="I94:I100"/>
    <mergeCell ref="K94:K100"/>
    <mergeCell ref="M94:M100"/>
    <mergeCell ref="O94:O100"/>
    <mergeCell ref="Q94:Q100"/>
    <mergeCell ref="B83:T83"/>
    <mergeCell ref="B84:C84"/>
    <mergeCell ref="D84:T84"/>
    <mergeCell ref="B85:C85"/>
    <mergeCell ref="B86:C86"/>
    <mergeCell ref="B87:C87"/>
    <mergeCell ref="A5:C5"/>
  </mergeCells>
  <pageMargins left="0.25" right="0.25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8" width="9.140625" customWidth="1"/>
    <col min="9" max="9" width="13.140625" customWidth="1"/>
    <col min="10" max="26" width="9.140625" customWidth="1"/>
  </cols>
  <sheetData>
    <row r="1" spans="1:26" ht="19.5" customHeight="1">
      <c r="A1" s="173"/>
      <c r="B1" s="174" t="s">
        <v>0</v>
      </c>
      <c r="C1" s="128"/>
      <c r="D1" s="128"/>
      <c r="E1" s="128"/>
      <c r="F1" s="128"/>
      <c r="G1" s="128"/>
      <c r="H1" s="128"/>
      <c r="I1" s="126"/>
    </row>
    <row r="2" spans="1:26" ht="19.5" customHeight="1">
      <c r="A2" s="150"/>
      <c r="B2" s="175" t="str">
        <f>'Course Information'!N4</f>
        <v>Information Science &amp; Engg</v>
      </c>
      <c r="C2" s="128"/>
      <c r="D2" s="128"/>
      <c r="E2" s="128"/>
      <c r="F2" s="128"/>
      <c r="G2" s="128"/>
      <c r="H2" s="128"/>
      <c r="I2" s="126"/>
    </row>
    <row r="3" spans="1:26" ht="19.5" customHeight="1">
      <c r="A3" s="151"/>
      <c r="B3" s="176" t="s">
        <v>11</v>
      </c>
      <c r="C3" s="128"/>
      <c r="D3" s="128"/>
      <c r="E3" s="128"/>
      <c r="F3" s="128"/>
      <c r="G3" s="128"/>
      <c r="H3" s="128"/>
      <c r="I3" s="126"/>
    </row>
    <row r="4" spans="1:26" ht="21.75" customHeight="1">
      <c r="A4" s="172" t="s">
        <v>13</v>
      </c>
      <c r="B4" s="128"/>
      <c r="C4" s="126"/>
      <c r="D4" s="172" t="str">
        <f>'Course Information'!$F$6</f>
        <v>DATA STRUCTURE AND APPLICATIONS</v>
      </c>
      <c r="E4" s="128"/>
      <c r="F4" s="128"/>
      <c r="G4" s="128"/>
      <c r="H4" s="128"/>
      <c r="I4" s="12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75" customHeight="1">
      <c r="A5" s="172" t="s">
        <v>17</v>
      </c>
      <c r="B5" s="128"/>
      <c r="C5" s="126"/>
      <c r="D5" s="172" t="str">
        <f>'Course Information'!$F$7</f>
        <v>1BCS305</v>
      </c>
      <c r="E5" s="126"/>
      <c r="F5" s="172" t="s">
        <v>20</v>
      </c>
      <c r="G5" s="126"/>
      <c r="H5" s="172">
        <f>'Course Information'!$N$7</f>
        <v>0</v>
      </c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75" customHeight="1">
      <c r="A6" s="172" t="s">
        <v>6</v>
      </c>
      <c r="B6" s="128"/>
      <c r="C6" s="126"/>
      <c r="D6" s="172" t="str">
        <f>'Course Information'!$F$5</f>
        <v>2026-27</v>
      </c>
      <c r="E6" s="126"/>
      <c r="F6" s="172" t="s">
        <v>26</v>
      </c>
      <c r="G6" s="126"/>
      <c r="H6" s="172">
        <f>'Course Information'!$N$6</f>
        <v>57</v>
      </c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177"/>
      <c r="B7" s="128"/>
      <c r="C7" s="128"/>
      <c r="D7" s="128"/>
      <c r="E7" s="128"/>
      <c r="F7" s="128"/>
      <c r="G7" s="128"/>
      <c r="H7" s="128"/>
      <c r="I7" s="126"/>
    </row>
    <row r="8" spans="1:26" ht="41.25" customHeight="1">
      <c r="A8" s="5" t="s">
        <v>27</v>
      </c>
      <c r="B8" s="178" t="s">
        <v>31</v>
      </c>
      <c r="C8" s="126"/>
      <c r="D8" s="178" t="s">
        <v>33</v>
      </c>
      <c r="E8" s="126"/>
      <c r="F8" s="178" t="s">
        <v>35</v>
      </c>
      <c r="G8" s="126"/>
      <c r="H8" s="179" t="s">
        <v>36</v>
      </c>
      <c r="I8" s="126"/>
    </row>
    <row r="9" spans="1:26" ht="41.25" customHeight="1">
      <c r="A9" s="8" t="str">
        <f>'Course Information'!$A$13:$B$13</f>
        <v>CO.1</v>
      </c>
      <c r="B9" s="170" t="str">
        <f>Evaluation!E95</f>
        <v/>
      </c>
      <c r="C9" s="126"/>
      <c r="D9" s="170" t="str">
        <f>Evaluation!H95</f>
        <v/>
      </c>
      <c r="E9" s="126"/>
      <c r="F9" s="170" t="str">
        <f t="shared" ref="F9:F14" si="0">IFERROR(SUM(B9:E9)/COUNT(B9:E9),"")</f>
        <v/>
      </c>
      <c r="G9" s="126"/>
      <c r="H9" s="171" t="str">
        <f t="shared" ref="H9:H14" si="1">IF(F9="","",IF(F9&gt;65,"Complete Attainment",IF(F9&gt;60,"Moderate Attainment",IF(F9&gt;55,"Poor Attainment",IF(F9&lt;55,"Not Attained","")))))</f>
        <v/>
      </c>
      <c r="I9" s="126"/>
    </row>
    <row r="10" spans="1:26" ht="41.25" customHeight="1">
      <c r="A10" s="8" t="str">
        <f>'Course Information'!$A$14:$B$14</f>
        <v>CO.2</v>
      </c>
      <c r="B10" s="170" t="str">
        <f>Evaluation!E96</f>
        <v/>
      </c>
      <c r="C10" s="126"/>
      <c r="D10" s="170" t="str">
        <f>Evaluation!H96</f>
        <v/>
      </c>
      <c r="E10" s="126"/>
      <c r="F10" s="170" t="str">
        <f t="shared" si="0"/>
        <v/>
      </c>
      <c r="G10" s="126"/>
      <c r="H10" s="171" t="str">
        <f t="shared" si="1"/>
        <v/>
      </c>
      <c r="I10" s="126"/>
    </row>
    <row r="11" spans="1:26" ht="41.25" customHeight="1">
      <c r="A11" s="8" t="str">
        <f>'Course Information'!$A$15:$B$15</f>
        <v>CO.3</v>
      </c>
      <c r="B11" s="170" t="str">
        <f>Evaluation!E97</f>
        <v/>
      </c>
      <c r="C11" s="126"/>
      <c r="D11" s="170" t="str">
        <f>Evaluation!H97</f>
        <v/>
      </c>
      <c r="E11" s="126"/>
      <c r="F11" s="170" t="str">
        <f t="shared" si="0"/>
        <v/>
      </c>
      <c r="G11" s="126"/>
      <c r="H11" s="171" t="str">
        <f t="shared" si="1"/>
        <v/>
      </c>
      <c r="I11" s="126"/>
    </row>
    <row r="12" spans="1:26" ht="41.25" customHeight="1">
      <c r="A12" s="8" t="str">
        <f>'Course Information'!$A$16:$B$16</f>
        <v>CO.4</v>
      </c>
      <c r="B12" s="170" t="str">
        <f>Evaluation!E98</f>
        <v/>
      </c>
      <c r="C12" s="126"/>
      <c r="D12" s="170" t="str">
        <f>Evaluation!H98</f>
        <v/>
      </c>
      <c r="E12" s="126"/>
      <c r="F12" s="170" t="str">
        <f t="shared" si="0"/>
        <v/>
      </c>
      <c r="G12" s="126"/>
      <c r="H12" s="171" t="str">
        <f t="shared" si="1"/>
        <v/>
      </c>
      <c r="I12" s="126"/>
    </row>
    <row r="13" spans="1:26" ht="41.25" customHeight="1">
      <c r="A13" s="8" t="str">
        <f>'Course Information'!$A$17:$B$17</f>
        <v>CO.5</v>
      </c>
      <c r="B13" s="170" t="str">
        <f>Evaluation!E99</f>
        <v/>
      </c>
      <c r="C13" s="126"/>
      <c r="D13" s="170" t="str">
        <f>Evaluation!H99</f>
        <v/>
      </c>
      <c r="E13" s="126"/>
      <c r="F13" s="170" t="str">
        <f t="shared" si="0"/>
        <v/>
      </c>
      <c r="G13" s="126"/>
      <c r="H13" s="171" t="str">
        <f t="shared" si="1"/>
        <v/>
      </c>
      <c r="I13" s="126"/>
    </row>
    <row r="14" spans="1:26" ht="41.25" customHeight="1">
      <c r="A14" s="8" t="str">
        <f>'Course Information'!$A$18:$B$18</f>
        <v>CO.6</v>
      </c>
      <c r="B14" s="170" t="str">
        <f>Evaluation!E100</f>
        <v/>
      </c>
      <c r="C14" s="126"/>
      <c r="D14" s="170" t="str">
        <f>Evaluation!H100</f>
        <v/>
      </c>
      <c r="E14" s="126"/>
      <c r="F14" s="170" t="str">
        <f t="shared" si="0"/>
        <v/>
      </c>
      <c r="G14" s="126"/>
      <c r="H14" s="171" t="str">
        <f t="shared" si="1"/>
        <v/>
      </c>
      <c r="I14" s="126"/>
    </row>
    <row r="15" spans="1:26" ht="14.25" customHeight="1"/>
    <row r="16" spans="1:26" ht="14.25" customHeight="1"/>
    <row r="17" spans="1:9" ht="14.25" customHeight="1"/>
    <row r="18" spans="1:9" ht="20.25" customHeight="1">
      <c r="A18" s="161" t="str">
        <f>'Course Information'!F8</f>
        <v>Thara K L</v>
      </c>
      <c r="B18" s="144"/>
      <c r="C18" s="144"/>
      <c r="D18" s="144"/>
      <c r="E18" s="12"/>
      <c r="F18" s="161">
        <f>'Course Information'!N8</f>
        <v>0</v>
      </c>
      <c r="G18" s="144"/>
      <c r="H18" s="144"/>
      <c r="I18" s="144"/>
    </row>
    <row r="19" spans="1:9" ht="20.25" customHeight="1">
      <c r="A19" s="161" t="s">
        <v>53</v>
      </c>
      <c r="B19" s="144"/>
      <c r="C19" s="144"/>
      <c r="D19" s="144"/>
      <c r="E19" s="12"/>
      <c r="F19" s="161" t="s">
        <v>22</v>
      </c>
      <c r="G19" s="144"/>
      <c r="H19" s="144"/>
      <c r="I19" s="144"/>
    </row>
    <row r="20" spans="1:9" ht="14.25" customHeight="1"/>
    <row r="21" spans="1:9" ht="14.25" customHeight="1"/>
    <row r="22" spans="1:9" ht="14.25" customHeight="1"/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B10:C10"/>
    <mergeCell ref="B11:C11"/>
    <mergeCell ref="D11:E11"/>
    <mergeCell ref="F11:G11"/>
    <mergeCell ref="H11:I11"/>
    <mergeCell ref="B12:C12"/>
    <mergeCell ref="D12:E12"/>
    <mergeCell ref="B13:C13"/>
    <mergeCell ref="D13:E13"/>
    <mergeCell ref="F13:G13"/>
    <mergeCell ref="H13:I13"/>
    <mergeCell ref="D14:E14"/>
    <mergeCell ref="F14:G14"/>
    <mergeCell ref="H14:I14"/>
    <mergeCell ref="D5:E5"/>
    <mergeCell ref="F5:G5"/>
    <mergeCell ref="H5:I5"/>
    <mergeCell ref="A7:I7"/>
    <mergeCell ref="B8:C8"/>
    <mergeCell ref="H8:I8"/>
    <mergeCell ref="D10:E10"/>
    <mergeCell ref="F10:G10"/>
    <mergeCell ref="D8:E8"/>
    <mergeCell ref="F8:G8"/>
    <mergeCell ref="B9:C9"/>
    <mergeCell ref="D9:E9"/>
    <mergeCell ref="A1:A3"/>
    <mergeCell ref="B1:I1"/>
    <mergeCell ref="B2:I2"/>
    <mergeCell ref="B3:I3"/>
    <mergeCell ref="A4:C4"/>
    <mergeCell ref="D4:I4"/>
    <mergeCell ref="A5:C5"/>
    <mergeCell ref="A6:C6"/>
    <mergeCell ref="D6:E6"/>
    <mergeCell ref="F6:G6"/>
    <mergeCell ref="H6:I6"/>
    <mergeCell ref="F9:G9"/>
    <mergeCell ref="H9:I9"/>
    <mergeCell ref="H10:I10"/>
    <mergeCell ref="F12:G12"/>
    <mergeCell ref="H12:I12"/>
    <mergeCell ref="F18:I18"/>
    <mergeCell ref="F19:I19"/>
    <mergeCell ref="B14:C14"/>
    <mergeCell ref="A18:D18"/>
    <mergeCell ref="A19:D19"/>
  </mergeCells>
  <printOptions horizontalCentered="1"/>
  <pageMargins left="0.70866141732283472" right="0.70866141732283472" top="0.74803149606299213" bottom="0.74803149606299213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26" width="9.140625" customWidth="1"/>
  </cols>
  <sheetData>
    <row r="1" spans="1:26" ht="19.5" customHeight="1">
      <c r="A1" s="173"/>
      <c r="B1" s="174" t="s">
        <v>0</v>
      </c>
      <c r="C1" s="128"/>
      <c r="D1" s="128"/>
      <c r="E1" s="128"/>
      <c r="F1" s="128"/>
      <c r="G1" s="128"/>
      <c r="H1" s="128"/>
      <c r="I1" s="126"/>
    </row>
    <row r="2" spans="1:26" ht="19.5" customHeight="1">
      <c r="A2" s="150"/>
      <c r="B2" s="175" t="str">
        <f>'Course Information'!N4</f>
        <v>Information Science &amp; Engg</v>
      </c>
      <c r="C2" s="128"/>
      <c r="D2" s="128"/>
      <c r="E2" s="128"/>
      <c r="F2" s="128"/>
      <c r="G2" s="128"/>
      <c r="H2" s="128"/>
      <c r="I2" s="126"/>
    </row>
    <row r="3" spans="1:26" ht="19.5" customHeight="1">
      <c r="A3" s="151"/>
      <c r="B3" s="176" t="s">
        <v>12</v>
      </c>
      <c r="C3" s="128"/>
      <c r="D3" s="128"/>
      <c r="E3" s="128"/>
      <c r="F3" s="128"/>
      <c r="G3" s="128"/>
      <c r="H3" s="128"/>
      <c r="I3" s="126"/>
    </row>
    <row r="4" spans="1:26" ht="21.75" customHeight="1">
      <c r="A4" s="172" t="s">
        <v>13</v>
      </c>
      <c r="B4" s="128"/>
      <c r="C4" s="126"/>
      <c r="D4" s="172" t="str">
        <f>'Course Information'!$F$6</f>
        <v>DATA STRUCTURE AND APPLICATIONS</v>
      </c>
      <c r="E4" s="128"/>
      <c r="F4" s="128"/>
      <c r="G4" s="128"/>
      <c r="H4" s="128"/>
      <c r="I4" s="12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75" customHeight="1">
      <c r="A5" s="172" t="s">
        <v>17</v>
      </c>
      <c r="B5" s="128"/>
      <c r="C5" s="126"/>
      <c r="D5" s="172" t="str">
        <f>'Course Information'!$F$7</f>
        <v>1BCS305</v>
      </c>
      <c r="E5" s="126"/>
      <c r="F5" s="172" t="s">
        <v>20</v>
      </c>
      <c r="G5" s="126"/>
      <c r="H5" s="172">
        <f>'Course Information'!$N$7</f>
        <v>0</v>
      </c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75" customHeight="1">
      <c r="A6" s="172" t="s">
        <v>6</v>
      </c>
      <c r="B6" s="128"/>
      <c r="C6" s="126"/>
      <c r="D6" s="172" t="str">
        <f>'Course Information'!$F$5</f>
        <v>2026-27</v>
      </c>
      <c r="E6" s="126"/>
      <c r="F6" s="172" t="s">
        <v>26</v>
      </c>
      <c r="G6" s="126"/>
      <c r="H6" s="172">
        <f>'Course Information'!$N$6</f>
        <v>57</v>
      </c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177"/>
      <c r="B7" s="128"/>
      <c r="C7" s="128"/>
      <c r="D7" s="128"/>
      <c r="E7" s="128"/>
      <c r="F7" s="128"/>
      <c r="G7" s="128"/>
      <c r="H7" s="128"/>
      <c r="I7" s="126"/>
    </row>
    <row r="8" spans="1:26" ht="41.25" customHeight="1">
      <c r="A8" s="5" t="s">
        <v>27</v>
      </c>
      <c r="B8" s="178" t="s">
        <v>31</v>
      </c>
      <c r="C8" s="126"/>
      <c r="D8" s="178" t="s">
        <v>33</v>
      </c>
      <c r="E8" s="126"/>
      <c r="F8" s="178" t="s">
        <v>35</v>
      </c>
      <c r="G8" s="126"/>
      <c r="H8" s="179" t="s">
        <v>36</v>
      </c>
      <c r="I8" s="126"/>
    </row>
    <row r="9" spans="1:26" ht="41.25" customHeight="1">
      <c r="A9" s="8" t="str">
        <f>'Course Information'!$A$13:$B$13</f>
        <v>CO.1</v>
      </c>
      <c r="B9" s="170" t="str">
        <f>Evaluation!F95</f>
        <v/>
      </c>
      <c r="C9" s="126"/>
      <c r="D9" s="170" t="s">
        <v>51</v>
      </c>
      <c r="E9" s="126"/>
      <c r="F9" s="170" t="str">
        <f t="shared" ref="F9:F14" si="0">IFERROR(SUM(B9:E9)/COUNT(B9:E9),"")</f>
        <v/>
      </c>
      <c r="G9" s="126"/>
      <c r="H9" s="171" t="str">
        <f t="shared" ref="H9:H14" si="1">IF(F9="","",IF(F9&gt;65,"Complete Attainment",IF(F9&gt;60,"Moderate Attainment",IF(F9&gt;55,"Poor Attainment",IF(F9&lt;55,"Not Attained","")))))</f>
        <v/>
      </c>
      <c r="I9" s="126"/>
    </row>
    <row r="10" spans="1:26" ht="41.25" customHeight="1">
      <c r="A10" s="8" t="str">
        <f>'Course Information'!$A$14:$B$14</f>
        <v>CO.2</v>
      </c>
      <c r="B10" s="170" t="str">
        <f>Evaluation!F96</f>
        <v/>
      </c>
      <c r="C10" s="126"/>
      <c r="D10" s="170" t="s">
        <v>51</v>
      </c>
      <c r="E10" s="126"/>
      <c r="F10" s="170" t="str">
        <f t="shared" si="0"/>
        <v/>
      </c>
      <c r="G10" s="126"/>
      <c r="H10" s="171" t="str">
        <f t="shared" si="1"/>
        <v/>
      </c>
      <c r="I10" s="126"/>
    </row>
    <row r="11" spans="1:26" ht="41.25" customHeight="1">
      <c r="A11" s="8" t="str">
        <f>'Course Information'!$A$15:$B$15</f>
        <v>CO.3</v>
      </c>
      <c r="B11" s="170" t="str">
        <f>Evaluation!F97</f>
        <v/>
      </c>
      <c r="C11" s="126"/>
      <c r="D11" s="170" t="s">
        <v>51</v>
      </c>
      <c r="E11" s="126"/>
      <c r="F11" s="170" t="str">
        <f t="shared" si="0"/>
        <v/>
      </c>
      <c r="G11" s="126"/>
      <c r="H11" s="171" t="str">
        <f t="shared" si="1"/>
        <v/>
      </c>
      <c r="I11" s="126"/>
    </row>
    <row r="12" spans="1:26" ht="41.25" customHeight="1">
      <c r="A12" s="8" t="str">
        <f>'Course Information'!$A$16:$B$16</f>
        <v>CO.4</v>
      </c>
      <c r="B12" s="170" t="str">
        <f>Evaluation!F98</f>
        <v/>
      </c>
      <c r="C12" s="126"/>
      <c r="D12" s="170" t="s">
        <v>51</v>
      </c>
      <c r="E12" s="126"/>
      <c r="F12" s="170" t="str">
        <f t="shared" si="0"/>
        <v/>
      </c>
      <c r="G12" s="126"/>
      <c r="H12" s="171" t="str">
        <f t="shared" si="1"/>
        <v/>
      </c>
      <c r="I12" s="126"/>
    </row>
    <row r="13" spans="1:26" ht="41.25" customHeight="1">
      <c r="A13" s="8" t="str">
        <f>'Course Information'!$A$17:$B$17</f>
        <v>CO.5</v>
      </c>
      <c r="B13" s="170" t="str">
        <f>Evaluation!F99</f>
        <v/>
      </c>
      <c r="C13" s="126"/>
      <c r="D13" s="170" t="s">
        <v>51</v>
      </c>
      <c r="E13" s="126"/>
      <c r="F13" s="170" t="str">
        <f t="shared" si="0"/>
        <v/>
      </c>
      <c r="G13" s="126"/>
      <c r="H13" s="171" t="str">
        <f t="shared" si="1"/>
        <v/>
      </c>
      <c r="I13" s="126"/>
    </row>
    <row r="14" spans="1:26" ht="41.25" customHeight="1">
      <c r="A14" s="8" t="str">
        <f>'Course Information'!$A$18:$B$18</f>
        <v>CO.6</v>
      </c>
      <c r="B14" s="170" t="str">
        <f>Evaluation!F100</f>
        <v/>
      </c>
      <c r="C14" s="126"/>
      <c r="D14" s="170" t="s">
        <v>51</v>
      </c>
      <c r="E14" s="126"/>
      <c r="F14" s="170" t="str">
        <f t="shared" si="0"/>
        <v/>
      </c>
      <c r="G14" s="126"/>
      <c r="H14" s="171" t="str">
        <f t="shared" si="1"/>
        <v/>
      </c>
      <c r="I14" s="126"/>
    </row>
    <row r="15" spans="1:26" ht="14.25" customHeight="1"/>
    <row r="16" spans="1:26" ht="14.25" customHeight="1"/>
    <row r="17" spans="1:9" ht="14.25" customHeight="1"/>
    <row r="18" spans="1:9" ht="20.25" customHeight="1">
      <c r="A18" s="161" t="str">
        <f>'Course Information'!F8</f>
        <v>Thara K L</v>
      </c>
      <c r="B18" s="144"/>
      <c r="C18" s="144"/>
      <c r="D18" s="144"/>
      <c r="E18" s="12"/>
      <c r="F18" s="161">
        <f>'Course Information'!N8</f>
        <v>0</v>
      </c>
      <c r="G18" s="144"/>
      <c r="H18" s="144"/>
      <c r="I18" s="144"/>
    </row>
    <row r="19" spans="1:9" ht="20.25" customHeight="1">
      <c r="A19" s="161" t="s">
        <v>53</v>
      </c>
      <c r="B19" s="144"/>
      <c r="C19" s="144"/>
      <c r="D19" s="144"/>
      <c r="E19" s="12"/>
      <c r="F19" s="161" t="s">
        <v>22</v>
      </c>
      <c r="G19" s="144"/>
      <c r="H19" s="144"/>
      <c r="I19" s="144"/>
    </row>
    <row r="20" spans="1:9" ht="14.25" customHeight="1"/>
    <row r="21" spans="1:9" ht="14.25" customHeight="1"/>
    <row r="22" spans="1:9" ht="14.25" customHeight="1"/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B10:C10"/>
    <mergeCell ref="B11:C11"/>
    <mergeCell ref="D11:E11"/>
    <mergeCell ref="F11:G11"/>
    <mergeCell ref="H11:I11"/>
    <mergeCell ref="B12:C12"/>
    <mergeCell ref="D12:E12"/>
    <mergeCell ref="B13:C13"/>
    <mergeCell ref="D13:E13"/>
    <mergeCell ref="F13:G13"/>
    <mergeCell ref="H13:I13"/>
    <mergeCell ref="D14:E14"/>
    <mergeCell ref="F14:G14"/>
    <mergeCell ref="H14:I14"/>
    <mergeCell ref="D5:E5"/>
    <mergeCell ref="F5:G5"/>
    <mergeCell ref="H5:I5"/>
    <mergeCell ref="A7:I7"/>
    <mergeCell ref="B8:C8"/>
    <mergeCell ref="H8:I8"/>
    <mergeCell ref="D10:E10"/>
    <mergeCell ref="F10:G10"/>
    <mergeCell ref="D8:E8"/>
    <mergeCell ref="F8:G8"/>
    <mergeCell ref="B9:C9"/>
    <mergeCell ref="D9:E9"/>
    <mergeCell ref="A1:A3"/>
    <mergeCell ref="B1:I1"/>
    <mergeCell ref="B2:I2"/>
    <mergeCell ref="B3:I3"/>
    <mergeCell ref="A4:C4"/>
    <mergeCell ref="D4:I4"/>
    <mergeCell ref="A5:C5"/>
    <mergeCell ref="A6:C6"/>
    <mergeCell ref="D6:E6"/>
    <mergeCell ref="F6:G6"/>
    <mergeCell ref="H6:I6"/>
    <mergeCell ref="F9:G9"/>
    <mergeCell ref="H9:I9"/>
    <mergeCell ref="H10:I10"/>
    <mergeCell ref="F12:G12"/>
    <mergeCell ref="H12:I12"/>
    <mergeCell ref="F18:I18"/>
    <mergeCell ref="F19:I19"/>
    <mergeCell ref="B14:C14"/>
    <mergeCell ref="A18:D18"/>
    <mergeCell ref="A19:D1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26" width="9.140625" customWidth="1"/>
  </cols>
  <sheetData>
    <row r="1" spans="1:26" ht="49.5" customHeight="1">
      <c r="A1" s="186" t="s">
        <v>92</v>
      </c>
      <c r="B1" s="128"/>
      <c r="C1" s="128"/>
      <c r="D1" s="128"/>
      <c r="E1" s="128"/>
      <c r="F1" s="128"/>
      <c r="G1" s="128"/>
      <c r="H1" s="128"/>
      <c r="I1" s="126"/>
    </row>
    <row r="2" spans="1:26" ht="19.5" customHeight="1">
      <c r="A2" s="187" t="s">
        <v>93</v>
      </c>
      <c r="B2" s="128"/>
      <c r="C2" s="128"/>
      <c r="D2" s="128"/>
      <c r="E2" s="128"/>
      <c r="F2" s="128"/>
      <c r="G2" s="128"/>
      <c r="H2" s="128"/>
      <c r="I2" s="1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9.5" customHeight="1">
      <c r="A3" s="188" t="str">
        <f>'Course Information'!N4</f>
        <v>Information Science &amp; Engg</v>
      </c>
      <c r="B3" s="128"/>
      <c r="C3" s="128"/>
      <c r="D3" s="128"/>
      <c r="E3" s="128"/>
      <c r="F3" s="128"/>
      <c r="G3" s="128"/>
      <c r="H3" s="128"/>
      <c r="I3" s="126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9.5" customHeight="1">
      <c r="B4" s="176" t="s">
        <v>94</v>
      </c>
      <c r="C4" s="128"/>
      <c r="D4" s="128"/>
      <c r="E4" s="128"/>
      <c r="F4" s="128"/>
      <c r="G4" s="128"/>
      <c r="H4" s="128"/>
      <c r="I4" s="126"/>
    </row>
    <row r="5" spans="1:26" ht="19.5" customHeight="1">
      <c r="A5" s="172" t="s">
        <v>13</v>
      </c>
      <c r="B5" s="128"/>
      <c r="C5" s="126"/>
      <c r="D5" s="172" t="str">
        <f>'Course Information'!$F$6</f>
        <v>DATA STRUCTURE AND APPLICATIONS</v>
      </c>
      <c r="E5" s="128"/>
      <c r="F5" s="128"/>
      <c r="G5" s="128"/>
      <c r="H5" s="128"/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172" t="s">
        <v>17</v>
      </c>
      <c r="B6" s="128"/>
      <c r="C6" s="126"/>
      <c r="D6" s="172" t="str">
        <f>'Course Information'!$F$7</f>
        <v>1BCS305</v>
      </c>
      <c r="E6" s="126"/>
      <c r="F6" s="172" t="s">
        <v>20</v>
      </c>
      <c r="G6" s="126"/>
      <c r="H6" s="172">
        <f>'Course Information'!$N$7</f>
        <v>0</v>
      </c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172" t="s">
        <v>6</v>
      </c>
      <c r="B7" s="128"/>
      <c r="C7" s="126"/>
      <c r="D7" s="172" t="str">
        <f>'Course Information'!$F$5</f>
        <v>2026-27</v>
      </c>
      <c r="E7" s="126"/>
      <c r="F7" s="172" t="s">
        <v>26</v>
      </c>
      <c r="G7" s="126"/>
      <c r="H7" s="172">
        <f>'Course Information'!$N$6</f>
        <v>57</v>
      </c>
      <c r="I7" s="1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185"/>
      <c r="B8" s="144"/>
      <c r="C8" s="144"/>
    </row>
    <row r="9" spans="1:26" ht="36.75" customHeight="1">
      <c r="A9" s="5" t="s">
        <v>27</v>
      </c>
      <c r="B9" s="178" t="s">
        <v>95</v>
      </c>
      <c r="C9" s="126"/>
      <c r="D9" s="178" t="s">
        <v>96</v>
      </c>
      <c r="E9" s="126"/>
      <c r="F9" s="178" t="s">
        <v>35</v>
      </c>
      <c r="G9" s="126"/>
      <c r="H9" s="179" t="s">
        <v>36</v>
      </c>
      <c r="I9" s="126"/>
    </row>
    <row r="10" spans="1:26" ht="30.75" customHeight="1">
      <c r="A10" s="8" t="str">
        <f>'Course Information'!$A$13:$B$13</f>
        <v>CO.1</v>
      </c>
      <c r="B10" s="170" t="str">
        <f>Evaluation!N95</f>
        <v/>
      </c>
      <c r="C10" s="126"/>
      <c r="D10" s="170">
        <f>Evaluation!P95</f>
        <v>0</v>
      </c>
      <c r="E10" s="126"/>
      <c r="F10" s="170" t="str">
        <f>Evaluation!R95</f>
        <v/>
      </c>
      <c r="G10" s="126"/>
      <c r="H10" s="171" t="str">
        <f t="shared" ref="H10:H15" si="0">IF(F10="","",IF(F10&gt;65,"Complete Attainment",IF(F10&gt;60,"Moderate Attainment",IF(F10&gt;55,"Poor Attainment",IF(F10&lt;55,"Not Attained","")))))</f>
        <v/>
      </c>
      <c r="I10" s="126"/>
    </row>
    <row r="11" spans="1:26" ht="30.75" customHeight="1">
      <c r="A11" s="8" t="str">
        <f>'Course Information'!$A$14:$B$14</f>
        <v>CO.2</v>
      </c>
      <c r="B11" s="170" t="str">
        <f>Evaluation!N96</f>
        <v/>
      </c>
      <c r="C11" s="126"/>
      <c r="D11" s="170">
        <f>Evaluation!P96</f>
        <v>0</v>
      </c>
      <c r="E11" s="126"/>
      <c r="F11" s="170" t="str">
        <f>Evaluation!R96</f>
        <v/>
      </c>
      <c r="G11" s="126"/>
      <c r="H11" s="171" t="str">
        <f t="shared" si="0"/>
        <v/>
      </c>
      <c r="I11" s="126"/>
    </row>
    <row r="12" spans="1:26" ht="30.75" customHeight="1">
      <c r="A12" s="8" t="str">
        <f>'Course Information'!$A$15:$B$15</f>
        <v>CO.3</v>
      </c>
      <c r="B12" s="170" t="str">
        <f>Evaluation!N97</f>
        <v/>
      </c>
      <c r="C12" s="126"/>
      <c r="D12" s="170">
        <f>Evaluation!P97</f>
        <v>0</v>
      </c>
      <c r="E12" s="126"/>
      <c r="F12" s="170" t="str">
        <f>Evaluation!R97</f>
        <v/>
      </c>
      <c r="G12" s="126"/>
      <c r="H12" s="171" t="str">
        <f t="shared" si="0"/>
        <v/>
      </c>
      <c r="I12" s="126"/>
    </row>
    <row r="13" spans="1:26" ht="30.75" customHeight="1">
      <c r="A13" s="8" t="str">
        <f>'Course Information'!$A$16:$B$16</f>
        <v>CO.4</v>
      </c>
      <c r="B13" s="170" t="str">
        <f>Evaluation!N98</f>
        <v/>
      </c>
      <c r="C13" s="126"/>
      <c r="D13" s="170">
        <f>Evaluation!P98</f>
        <v>0</v>
      </c>
      <c r="E13" s="126"/>
      <c r="F13" s="170" t="str">
        <f>Evaluation!R98</f>
        <v/>
      </c>
      <c r="G13" s="126"/>
      <c r="H13" s="171" t="str">
        <f t="shared" si="0"/>
        <v/>
      </c>
      <c r="I13" s="126"/>
    </row>
    <row r="14" spans="1:26" ht="30.75" customHeight="1">
      <c r="A14" s="8" t="str">
        <f>'Course Information'!$A$17:$B$17</f>
        <v>CO.5</v>
      </c>
      <c r="B14" s="170" t="str">
        <f>Evaluation!N99</f>
        <v/>
      </c>
      <c r="C14" s="126"/>
      <c r="D14" s="170">
        <f>Evaluation!P99</f>
        <v>0</v>
      </c>
      <c r="E14" s="126"/>
      <c r="F14" s="170" t="str">
        <f>Evaluation!R99</f>
        <v/>
      </c>
      <c r="G14" s="126"/>
      <c r="H14" s="171" t="str">
        <f t="shared" si="0"/>
        <v/>
      </c>
      <c r="I14" s="126"/>
    </row>
    <row r="15" spans="1:26" ht="30.75" customHeight="1">
      <c r="A15" s="8" t="str">
        <f>'Course Information'!$A$18:$B$18</f>
        <v>CO.6</v>
      </c>
      <c r="B15" s="170" t="str">
        <f>Evaluation!N100</f>
        <v/>
      </c>
      <c r="C15" s="126"/>
      <c r="D15" s="170">
        <f>Evaluation!P100</f>
        <v>0</v>
      </c>
      <c r="E15" s="126"/>
      <c r="F15" s="170" t="str">
        <f>Evaluation!R100</f>
        <v/>
      </c>
      <c r="G15" s="126"/>
      <c r="H15" s="171" t="str">
        <f t="shared" si="0"/>
        <v/>
      </c>
      <c r="I15" s="126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41.25" customHeight="1"/>
    <row r="33" spans="1:9" ht="14.25" customHeight="1"/>
    <row r="34" spans="1:9" ht="14.25" customHeight="1"/>
    <row r="35" spans="1:9" ht="20.25" customHeight="1">
      <c r="A35" s="161" t="str">
        <f>'Course Information'!F8</f>
        <v>Thara K L</v>
      </c>
      <c r="B35" s="144"/>
      <c r="C35" s="144"/>
      <c r="D35" s="144"/>
      <c r="E35" s="12"/>
      <c r="F35" s="161">
        <f>'Course Information'!N8</f>
        <v>0</v>
      </c>
      <c r="G35" s="144"/>
      <c r="H35" s="144"/>
      <c r="I35" s="144"/>
    </row>
    <row r="36" spans="1:9" ht="20.25" customHeight="1">
      <c r="A36" s="161" t="s">
        <v>53</v>
      </c>
      <c r="B36" s="144"/>
      <c r="C36" s="144"/>
      <c r="D36" s="144"/>
      <c r="E36" s="12"/>
      <c r="F36" s="161" t="s">
        <v>22</v>
      </c>
      <c r="G36" s="144"/>
      <c r="H36" s="144"/>
      <c r="I36" s="144"/>
    </row>
    <row r="37" spans="1:9" ht="14.25" customHeight="1"/>
    <row r="38" spans="1:9" ht="14.25" customHeight="1"/>
    <row r="39" spans="1:9" ht="14.25" customHeight="1"/>
    <row r="40" spans="1:9" ht="19.5" customHeight="1">
      <c r="B40" s="180" t="s">
        <v>0</v>
      </c>
      <c r="C40" s="144"/>
      <c r="D40" s="144"/>
      <c r="E40" s="144"/>
      <c r="F40" s="144"/>
      <c r="G40" s="144"/>
      <c r="H40" s="144"/>
      <c r="I40" s="144"/>
    </row>
    <row r="41" spans="1:9" ht="19.5" customHeight="1">
      <c r="B41" s="181" t="str">
        <f>'Course Information'!N4</f>
        <v>Information Science &amp; Engg</v>
      </c>
      <c r="C41" s="144"/>
      <c r="D41" s="144"/>
      <c r="E41" s="144"/>
      <c r="F41" s="144"/>
      <c r="G41" s="144"/>
      <c r="H41" s="144"/>
      <c r="I41" s="144"/>
    </row>
    <row r="42" spans="1:9" ht="19.5" customHeight="1">
      <c r="B42" s="182" t="s">
        <v>97</v>
      </c>
      <c r="C42" s="144"/>
      <c r="D42" s="144"/>
      <c r="E42" s="144"/>
      <c r="F42" s="144"/>
      <c r="G42" s="144"/>
      <c r="H42" s="144"/>
      <c r="I42" s="144"/>
    </row>
    <row r="43" spans="1:9" ht="19.5" customHeight="1">
      <c r="A43" s="172" t="s">
        <v>13</v>
      </c>
      <c r="B43" s="128"/>
      <c r="C43" s="126"/>
      <c r="D43" s="172" t="str">
        <f>'Course Information'!$F$6</f>
        <v>DATA STRUCTURE AND APPLICATIONS</v>
      </c>
      <c r="E43" s="128"/>
      <c r="F43" s="128"/>
      <c r="G43" s="128"/>
      <c r="H43" s="128"/>
      <c r="I43" s="126"/>
    </row>
    <row r="44" spans="1:9" ht="19.5" customHeight="1">
      <c r="A44" s="172" t="s">
        <v>17</v>
      </c>
      <c r="B44" s="128"/>
      <c r="C44" s="126"/>
      <c r="D44" s="172" t="str">
        <f>'Course Information'!$F$7</f>
        <v>1BCS305</v>
      </c>
      <c r="E44" s="126"/>
      <c r="F44" s="172" t="s">
        <v>20</v>
      </c>
      <c r="G44" s="126"/>
      <c r="H44" s="172">
        <f>'Course Information'!$N$7</f>
        <v>0</v>
      </c>
      <c r="I44" s="126"/>
    </row>
    <row r="45" spans="1:9" ht="19.5" customHeight="1">
      <c r="A45" s="172" t="s">
        <v>6</v>
      </c>
      <c r="B45" s="128"/>
      <c r="C45" s="126"/>
      <c r="D45" s="172" t="str">
        <f>'Course Information'!$F$5</f>
        <v>2026-27</v>
      </c>
      <c r="E45" s="126"/>
      <c r="F45" s="172" t="s">
        <v>26</v>
      </c>
      <c r="G45" s="126"/>
      <c r="H45" s="172">
        <f>'Course Information'!$N$6</f>
        <v>57</v>
      </c>
      <c r="I45" s="126"/>
    </row>
    <row r="46" spans="1:9" ht="14.25" customHeight="1"/>
    <row r="47" spans="1:9" ht="14.25" customHeight="1"/>
    <row r="48" spans="1:9" ht="19.5" customHeight="1">
      <c r="A48" s="30" t="s">
        <v>32</v>
      </c>
      <c r="B48" s="184" t="s">
        <v>52</v>
      </c>
      <c r="C48" s="126"/>
      <c r="D48" s="184" t="s">
        <v>87</v>
      </c>
      <c r="E48" s="126"/>
      <c r="F48" s="184" t="s">
        <v>98</v>
      </c>
      <c r="G48" s="126"/>
      <c r="H48" s="184" t="s">
        <v>36</v>
      </c>
      <c r="I48" s="126"/>
    </row>
    <row r="49" spans="1:9" ht="18" customHeight="1">
      <c r="A49" s="15" t="s">
        <v>37</v>
      </c>
      <c r="B49" s="131" t="str">
        <f>'Course Information'!C19</f>
        <v>NA</v>
      </c>
      <c r="C49" s="126"/>
      <c r="D49" s="131" t="str">
        <f>IFERROR(ROUNDUP(('Course Information'!C19/100)*(SUM($F$10*'Course Information'!C13,$F$11*'Course Information'!C14,$F$12*'Course Information'!C15,$F$13*'Course Information'!C16,$F$14*'Course Information'!C17,$F$15*'Course Information'!C18))/SUM('Course Information'!C13:C18),2),"")</f>
        <v/>
      </c>
      <c r="E49" s="126"/>
      <c r="F49" s="183" t="str">
        <f t="shared" ref="F49:F60" si="1">IFERROR(ROUNDUP((D49/B49)*100,2),"")</f>
        <v/>
      </c>
      <c r="G49" s="126"/>
      <c r="H49" s="131" t="str">
        <f t="shared" ref="H49:H60" si="2">IF(F49="","",IF(F49&gt;75,"Attained","Not Attained"))</f>
        <v/>
      </c>
      <c r="I49" s="126"/>
    </row>
    <row r="50" spans="1:9" ht="18" customHeight="1">
      <c r="A50" s="15" t="s">
        <v>38</v>
      </c>
      <c r="B50" s="131" t="str">
        <f>'Course Information'!D19</f>
        <v>NA</v>
      </c>
      <c r="C50" s="126"/>
      <c r="D50" s="131" t="str">
        <f>IFERROR(ROUNDUP(('Course Information'!D19/100)*(SUM($F$10*'Course Information'!D13,$F$11*'Course Information'!D14,$F$12*'Course Information'!D15,$F$13*'Course Information'!D16,$F$14*'Course Information'!D17,$F$15*'Course Information'!D18))/SUM('Course Information'!D13:D18),2),"")</f>
        <v/>
      </c>
      <c r="E50" s="126"/>
      <c r="F50" s="183" t="str">
        <f t="shared" si="1"/>
        <v/>
      </c>
      <c r="G50" s="126"/>
      <c r="H50" s="131" t="str">
        <f t="shared" si="2"/>
        <v/>
      </c>
      <c r="I50" s="126"/>
    </row>
    <row r="51" spans="1:9" ht="18" customHeight="1">
      <c r="A51" s="15" t="s">
        <v>39</v>
      </c>
      <c r="B51" s="131" t="str">
        <f>'Course Information'!E19</f>
        <v>NA</v>
      </c>
      <c r="C51" s="126"/>
      <c r="D51" s="131" t="str">
        <f>IFERROR(ROUNDUP(('Course Information'!E19/100)*(SUM($F$10*'Course Information'!E13,$F$11*'Course Information'!E14,$F$12*'Course Information'!E15,$F$13*'Course Information'!E16,$F$14*'Course Information'!E17,$F$15*'Course Information'!E18))/SUM('Course Information'!E13:E18),2),"")</f>
        <v/>
      </c>
      <c r="E51" s="126"/>
      <c r="F51" s="183" t="str">
        <f t="shared" si="1"/>
        <v/>
      </c>
      <c r="G51" s="126"/>
      <c r="H51" s="131" t="str">
        <f t="shared" si="2"/>
        <v/>
      </c>
      <c r="I51" s="126"/>
    </row>
    <row r="52" spans="1:9" ht="18" customHeight="1">
      <c r="A52" s="15" t="s">
        <v>40</v>
      </c>
      <c r="B52" s="131" t="str">
        <f>'Course Information'!F19</f>
        <v>NA</v>
      </c>
      <c r="C52" s="126"/>
      <c r="D52" s="131" t="str">
        <f>IFERROR(ROUNDUP(('Course Information'!F19/100)*(SUM($F$10*'Course Information'!F13,$F$11*'Course Information'!F14,$F$12*'Course Information'!F15,$F$13*'Course Information'!F16,$F$14*'Course Information'!F17,$F$15*'Course Information'!F18))/SUM('Course Information'!F13:F18),2),"")</f>
        <v/>
      </c>
      <c r="E52" s="126"/>
      <c r="F52" s="183" t="str">
        <f t="shared" si="1"/>
        <v/>
      </c>
      <c r="G52" s="126"/>
      <c r="H52" s="131" t="str">
        <f t="shared" si="2"/>
        <v/>
      </c>
      <c r="I52" s="126"/>
    </row>
    <row r="53" spans="1:9" ht="18" customHeight="1">
      <c r="A53" s="15" t="s">
        <v>41</v>
      </c>
      <c r="B53" s="131" t="str">
        <f>'Course Information'!G19</f>
        <v>NA</v>
      </c>
      <c r="C53" s="126"/>
      <c r="D53" s="131" t="str">
        <f>IFERROR(ROUNDUP(('Course Information'!G19/100)*(SUM($F$10*'Course Information'!G13,$F$11*'Course Information'!G14,$F$12*'Course Information'!G15,$F$13*'Course Information'!G16,$F$14*'Course Information'!G17,$F$15*'Course Information'!G18))/SUM('Course Information'!G13:G18),2),"")</f>
        <v/>
      </c>
      <c r="E53" s="126"/>
      <c r="F53" s="183" t="str">
        <f t="shared" si="1"/>
        <v/>
      </c>
      <c r="G53" s="126"/>
      <c r="H53" s="131" t="str">
        <f t="shared" si="2"/>
        <v/>
      </c>
      <c r="I53" s="126"/>
    </row>
    <row r="54" spans="1:9" ht="18" customHeight="1">
      <c r="A54" s="15" t="s">
        <v>42</v>
      </c>
      <c r="B54" s="131" t="str">
        <f>'Course Information'!H19</f>
        <v>NA</v>
      </c>
      <c r="C54" s="126"/>
      <c r="D54" s="131" t="str">
        <f>IFERROR(ROUNDUP(('Course Information'!H19/100)*(SUM($F$10*'Course Information'!H13,$F$11*'Course Information'!H14,$F$12*'Course Information'!H15,$F$13*'Course Information'!H16,$F$14*'Course Information'!H17,$F$15*'Course Information'!H18))/SUM('Course Information'!H13:H18),2),"")</f>
        <v/>
      </c>
      <c r="E54" s="126"/>
      <c r="F54" s="183" t="str">
        <f t="shared" si="1"/>
        <v/>
      </c>
      <c r="G54" s="126"/>
      <c r="H54" s="131" t="str">
        <f t="shared" si="2"/>
        <v/>
      </c>
      <c r="I54" s="126"/>
    </row>
    <row r="55" spans="1:9" ht="18" customHeight="1">
      <c r="A55" s="15" t="s">
        <v>43</v>
      </c>
      <c r="B55" s="131" t="str">
        <f>'Course Information'!I19</f>
        <v>NA</v>
      </c>
      <c r="C55" s="126"/>
      <c r="D55" s="131" t="str">
        <f>IFERROR(ROUNDUP(('Course Information'!I19/100)*(SUM($F$10*'Course Information'!I13,$F$11*'Course Information'!I14,$F$12*'Course Information'!I15,$F$13*'Course Information'!I16,$F$14*'Course Information'!I17,$F$15*'Course Information'!I18))/SUM('Course Information'!I13:I18),2),"")</f>
        <v/>
      </c>
      <c r="E55" s="126"/>
      <c r="F55" s="183" t="str">
        <f t="shared" si="1"/>
        <v/>
      </c>
      <c r="G55" s="126"/>
      <c r="H55" s="131" t="str">
        <f t="shared" si="2"/>
        <v/>
      </c>
      <c r="I55" s="126"/>
    </row>
    <row r="56" spans="1:9" ht="18" customHeight="1">
      <c r="A56" s="15" t="s">
        <v>44</v>
      </c>
      <c r="B56" s="131" t="str">
        <f>'Course Information'!J19</f>
        <v>NA</v>
      </c>
      <c r="C56" s="126"/>
      <c r="D56" s="131" t="str">
        <f>IFERROR(ROUNDUP(('Course Information'!J19/100)*(SUM($F$10*'Course Information'!J13,$F$11*'Course Information'!J14,$F$12*'Course Information'!J15,$F$13*'Course Information'!J16,$F$14*'Course Information'!J17,$F$15*'Course Information'!J18))/SUM('Course Information'!J13:J18),2),"")</f>
        <v/>
      </c>
      <c r="E56" s="126"/>
      <c r="F56" s="183" t="str">
        <f t="shared" si="1"/>
        <v/>
      </c>
      <c r="G56" s="126"/>
      <c r="H56" s="131" t="str">
        <f t="shared" si="2"/>
        <v/>
      </c>
      <c r="I56" s="126"/>
    </row>
    <row r="57" spans="1:9" ht="18" customHeight="1">
      <c r="A57" s="15" t="s">
        <v>45</v>
      </c>
      <c r="B57" s="131" t="str">
        <f>'Course Information'!K19</f>
        <v>NA</v>
      </c>
      <c r="C57" s="126"/>
      <c r="D57" s="131" t="str">
        <f>IFERROR(ROUNDUP(('Course Information'!K19/100)*(SUM($F$10*'Course Information'!K13,$F$11*'Course Information'!K14,$F$12*'Course Information'!K15,$F$13*'Course Information'!K16,$F$14*'Course Information'!K17,$F$15*'Course Information'!K18))/SUM('Course Information'!K13:K18),2),"")</f>
        <v/>
      </c>
      <c r="E57" s="126"/>
      <c r="F57" s="183" t="str">
        <f t="shared" si="1"/>
        <v/>
      </c>
      <c r="G57" s="126"/>
      <c r="H57" s="131" t="str">
        <f t="shared" si="2"/>
        <v/>
      </c>
      <c r="I57" s="126"/>
    </row>
    <row r="58" spans="1:9" ht="18" customHeight="1">
      <c r="A58" s="15" t="s">
        <v>46</v>
      </c>
      <c r="B58" s="131" t="str">
        <f>'Course Information'!L19</f>
        <v>NA</v>
      </c>
      <c r="C58" s="126"/>
      <c r="D58" s="131" t="str">
        <f>IFERROR(ROUNDUP(('Course Information'!L19/100)*(SUM($F$10*'Course Information'!L13,$F$11*'Course Information'!L14,$F$12*'Course Information'!L15,$F$13*'Course Information'!L16,$F$14*'Course Information'!L17,$F$15*'Course Information'!L18))/SUM('Course Information'!L13:L18),2),"")</f>
        <v/>
      </c>
      <c r="E58" s="126"/>
      <c r="F58" s="183" t="str">
        <f t="shared" si="1"/>
        <v/>
      </c>
      <c r="G58" s="126"/>
      <c r="H58" s="131" t="str">
        <f t="shared" si="2"/>
        <v/>
      </c>
      <c r="I58" s="126"/>
    </row>
    <row r="59" spans="1:9" ht="18" customHeight="1">
      <c r="A59" s="15" t="s">
        <v>47</v>
      </c>
      <c r="B59" s="131" t="str">
        <f>'Course Information'!M19</f>
        <v>NA</v>
      </c>
      <c r="C59" s="126"/>
      <c r="D59" s="131" t="str">
        <f>IFERROR(ROUNDUP(('Course Information'!M19/100)*(SUM($F$10*'Course Information'!M13,$F$11*'Course Information'!M14,$F$12*'Course Information'!M15,$F$13*'Course Information'!M16,$F$14*'Course Information'!M17,$F$15*'Course Information'!M18))/SUM('Course Information'!M13:M18),2),"")</f>
        <v/>
      </c>
      <c r="E59" s="126"/>
      <c r="F59" s="183" t="str">
        <f t="shared" si="1"/>
        <v/>
      </c>
      <c r="G59" s="126"/>
      <c r="H59" s="131" t="str">
        <f t="shared" si="2"/>
        <v/>
      </c>
      <c r="I59" s="126"/>
    </row>
    <row r="60" spans="1:9" ht="18" customHeight="1">
      <c r="A60" s="15" t="s">
        <v>89</v>
      </c>
      <c r="B60" s="131" t="str">
        <f>'Course Information'!N19</f>
        <v>NA</v>
      </c>
      <c r="C60" s="126"/>
      <c r="D60" s="131" t="str">
        <f>IFERROR(ROUNDUP(('Course Information'!N19/100)*(SUM($F$10*'Course Information'!N13,$F$11*'Course Information'!N14,$F$12*'Course Information'!N15,$F$13*'Course Information'!N16,$F$14*'Course Information'!N17,$F$15*'Course Information'!N18))/SUM('Course Information'!N13:N18),2),"")</f>
        <v/>
      </c>
      <c r="E60" s="126"/>
      <c r="F60" s="183" t="str">
        <f t="shared" si="1"/>
        <v/>
      </c>
      <c r="G60" s="126"/>
      <c r="H60" s="131" t="str">
        <f t="shared" si="2"/>
        <v/>
      </c>
      <c r="I60" s="126"/>
    </row>
    <row r="61" spans="1:9" ht="14.25" customHeight="1"/>
    <row r="62" spans="1:9" ht="14.25" customHeight="1"/>
    <row r="63" spans="1:9" ht="14.25" customHeight="1"/>
    <row r="64" spans="1:9" ht="14.25" customHeight="1"/>
    <row r="65" spans="1:9" ht="14.25" customHeight="1"/>
    <row r="66" spans="1:9" ht="14.25" customHeight="1"/>
    <row r="67" spans="1:9" ht="14.25" customHeight="1"/>
    <row r="68" spans="1:9" ht="14.25" customHeight="1"/>
    <row r="69" spans="1:9" ht="14.25" customHeight="1"/>
    <row r="70" spans="1:9" ht="14.25" customHeight="1"/>
    <row r="71" spans="1:9" ht="14.25" customHeight="1"/>
    <row r="72" spans="1:9" ht="14.25" customHeight="1"/>
    <row r="73" spans="1:9" ht="14.25" customHeight="1"/>
    <row r="74" spans="1:9" ht="14.25" customHeight="1"/>
    <row r="75" spans="1:9" ht="23.25" customHeight="1"/>
    <row r="76" spans="1:9" ht="23.25" customHeight="1"/>
    <row r="77" spans="1:9" ht="23.25" customHeight="1"/>
    <row r="78" spans="1:9" ht="27.75" customHeight="1"/>
    <row r="79" spans="1:9" ht="14.25" customHeight="1"/>
    <row r="80" spans="1:9" ht="14.25" customHeight="1">
      <c r="A80" s="161" t="str">
        <f>'Course Information'!F8</f>
        <v>Thara K L</v>
      </c>
      <c r="B80" s="144"/>
      <c r="C80" s="144"/>
      <c r="D80" s="144"/>
      <c r="E80" s="12"/>
      <c r="F80" s="161">
        <f>'Course Information'!N8</f>
        <v>0</v>
      </c>
      <c r="G80" s="144"/>
      <c r="H80" s="144"/>
      <c r="I80" s="144"/>
    </row>
    <row r="81" spans="1:9" ht="14.25" customHeight="1">
      <c r="A81" s="161" t="s">
        <v>53</v>
      </c>
      <c r="B81" s="144"/>
      <c r="C81" s="144"/>
      <c r="D81" s="144"/>
      <c r="E81" s="12"/>
      <c r="F81" s="161" t="s">
        <v>22</v>
      </c>
      <c r="G81" s="144"/>
      <c r="H81" s="144"/>
      <c r="I81" s="144"/>
    </row>
    <row r="82" spans="1:9" ht="14.25" customHeight="1"/>
    <row r="83" spans="1:9" ht="19.5" customHeight="1">
      <c r="B83" s="180" t="s">
        <v>0</v>
      </c>
      <c r="C83" s="144"/>
      <c r="D83" s="144"/>
      <c r="E83" s="144"/>
      <c r="F83" s="144"/>
      <c r="G83" s="144"/>
      <c r="H83" s="144"/>
      <c r="I83" s="144"/>
    </row>
    <row r="84" spans="1:9" ht="19.5" customHeight="1">
      <c r="B84" s="181" t="str">
        <f>'Course Information'!N4</f>
        <v>Information Science &amp; Engg</v>
      </c>
      <c r="C84" s="144"/>
      <c r="D84" s="144"/>
      <c r="E84" s="144"/>
      <c r="F84" s="144"/>
      <c r="G84" s="144"/>
      <c r="H84" s="144"/>
      <c r="I84" s="144"/>
    </row>
    <row r="85" spans="1:9" ht="19.5" customHeight="1">
      <c r="B85" s="182" t="s">
        <v>103</v>
      </c>
      <c r="C85" s="144"/>
      <c r="D85" s="144"/>
      <c r="E85" s="144"/>
      <c r="F85" s="144"/>
      <c r="G85" s="144"/>
      <c r="H85" s="144"/>
      <c r="I85" s="144"/>
    </row>
    <row r="86" spans="1:9" ht="19.5" customHeight="1">
      <c r="A86" s="172" t="s">
        <v>13</v>
      </c>
      <c r="B86" s="128"/>
      <c r="C86" s="126"/>
      <c r="D86" s="172" t="str">
        <f>'Course Information'!$F$6</f>
        <v>DATA STRUCTURE AND APPLICATIONS</v>
      </c>
      <c r="E86" s="128"/>
      <c r="F86" s="128"/>
      <c r="G86" s="128"/>
      <c r="H86" s="128"/>
      <c r="I86" s="126"/>
    </row>
    <row r="87" spans="1:9" ht="19.5" customHeight="1">
      <c r="A87" s="172" t="s">
        <v>17</v>
      </c>
      <c r="B87" s="128"/>
      <c r="C87" s="126"/>
      <c r="D87" s="172" t="str">
        <f>'Course Information'!$F$7</f>
        <v>1BCS305</v>
      </c>
      <c r="E87" s="126"/>
      <c r="F87" s="172" t="s">
        <v>20</v>
      </c>
      <c r="G87" s="126"/>
      <c r="H87" s="172">
        <f>'Course Information'!$N$7</f>
        <v>0</v>
      </c>
      <c r="I87" s="126"/>
    </row>
    <row r="88" spans="1:9" ht="19.5" customHeight="1">
      <c r="A88" s="172" t="s">
        <v>6</v>
      </c>
      <c r="B88" s="128"/>
      <c r="C88" s="126"/>
      <c r="D88" s="172" t="str">
        <f>'Course Information'!$F$5</f>
        <v>2026-27</v>
      </c>
      <c r="E88" s="126"/>
      <c r="F88" s="172" t="s">
        <v>26</v>
      </c>
      <c r="G88" s="126"/>
      <c r="H88" s="172">
        <f>'Course Information'!$N$6</f>
        <v>57</v>
      </c>
      <c r="I88" s="126"/>
    </row>
    <row r="89" spans="1:9" ht="14.25" customHeight="1"/>
    <row r="90" spans="1:9" ht="14.25" customHeight="1"/>
    <row r="91" spans="1:9" ht="32.25" customHeight="1">
      <c r="A91" s="30" t="s">
        <v>32</v>
      </c>
      <c r="B91" s="184" t="s">
        <v>52</v>
      </c>
      <c r="C91" s="126"/>
      <c r="D91" s="184" t="s">
        <v>87</v>
      </c>
      <c r="E91" s="126"/>
      <c r="F91" s="184" t="s">
        <v>98</v>
      </c>
      <c r="G91" s="126"/>
      <c r="H91" s="184" t="s">
        <v>36</v>
      </c>
      <c r="I91" s="126"/>
    </row>
    <row r="92" spans="1:9" ht="32.25" customHeight="1">
      <c r="A92" s="15" t="s">
        <v>48</v>
      </c>
      <c r="B92" s="131" t="str">
        <f>'Course Information'!O19</f>
        <v>NA</v>
      </c>
      <c r="C92" s="126"/>
      <c r="D92" s="131" t="str">
        <f>IFERROR(ROUNDUP((B92/100)*(SUM($F$10*'Course Information'!O13,$F$11*'Course Information'!O14,$F$12*'Course Information'!O15,$F$13*'Course Information'!O16,$F$14*'Course Information'!O17,$F$15*'Course Information'!O18))/SUM('Course Information'!O13:O18),2),"")</f>
        <v/>
      </c>
      <c r="E92" s="126"/>
      <c r="F92" s="183" t="str">
        <f t="shared" ref="F92:F94" si="3">IFERROR(ROUNDUP((D92/B92)*100,2),"")</f>
        <v/>
      </c>
      <c r="G92" s="126"/>
      <c r="H92" s="131" t="str">
        <f t="shared" ref="H92:H94" si="4">IF(F92="","",IF(F92&gt;75,"Attained","Not Attained"))</f>
        <v/>
      </c>
      <c r="I92" s="126"/>
    </row>
    <row r="93" spans="1:9" ht="32.25" customHeight="1">
      <c r="A93" s="15" t="s">
        <v>49</v>
      </c>
      <c r="B93" s="131" t="str">
        <f>'Course Information'!P19</f>
        <v>NA</v>
      </c>
      <c r="C93" s="126"/>
      <c r="D93" s="131" t="str">
        <f>IFERROR(ROUNDUP((B93/100)*(SUM($F$10*'Course Information'!P13,$F$11*'Course Information'!P14,$F$12*'Course Information'!P15,$F$13*'Course Information'!P16,$F$14*'Course Information'!P17,$F$15*'Course Information'!P18))/SUM('Course Information'!P13:P18),2),"")</f>
        <v/>
      </c>
      <c r="E93" s="126"/>
      <c r="F93" s="183" t="str">
        <f t="shared" si="3"/>
        <v/>
      </c>
      <c r="G93" s="126"/>
      <c r="H93" s="131" t="str">
        <f t="shared" si="4"/>
        <v/>
      </c>
      <c r="I93" s="126"/>
    </row>
    <row r="94" spans="1:9" ht="32.25" customHeight="1">
      <c r="A94" s="15" t="s">
        <v>50</v>
      </c>
      <c r="B94" s="131" t="str">
        <f>'Course Information'!Q19</f>
        <v>NA</v>
      </c>
      <c r="C94" s="126"/>
      <c r="D94" s="131" t="str">
        <f>IFERROR(ROUNDUP((B94/100)*(SUM($F$10*'Course Information'!Q13,$F$11*'Course Information'!Q14,$F$12*'Course Information'!Q15,$F$13*'Course Information'!Q16,$F$14*'Course Information'!Q17,$F$15*'Course Information'!Q18))/SUM('Course Information'!Q13:Q18),2),"")</f>
        <v/>
      </c>
      <c r="E94" s="126"/>
      <c r="F94" s="183" t="str">
        <f t="shared" si="3"/>
        <v/>
      </c>
      <c r="G94" s="126"/>
      <c r="H94" s="131" t="str">
        <f t="shared" si="4"/>
        <v/>
      </c>
      <c r="I94" s="126"/>
    </row>
    <row r="95" spans="1:9" ht="14.25" customHeight="1"/>
    <row r="96" spans="1:9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23.25" customHeight="1"/>
    <row r="110" ht="23.25" customHeight="1"/>
    <row r="111" ht="23.25" customHeight="1"/>
    <row r="112" ht="27.75" customHeight="1"/>
    <row r="113" spans="1:9" ht="14.25" customHeight="1"/>
    <row r="114" spans="1:9" ht="14.25" customHeight="1">
      <c r="A114" s="161" t="str">
        <f>'Course Information'!F8</f>
        <v>Thara K L</v>
      </c>
      <c r="B114" s="144"/>
      <c r="C114" s="144"/>
      <c r="D114" s="144"/>
      <c r="E114" s="12"/>
      <c r="F114" s="161">
        <f>'Course Information'!N8</f>
        <v>0</v>
      </c>
      <c r="G114" s="144"/>
      <c r="H114" s="144"/>
      <c r="I114" s="144"/>
    </row>
    <row r="115" spans="1:9" ht="14.25" customHeight="1">
      <c r="A115" s="161" t="s">
        <v>53</v>
      </c>
      <c r="B115" s="144"/>
      <c r="C115" s="144"/>
      <c r="D115" s="144"/>
      <c r="E115" s="12"/>
      <c r="F115" s="161" t="s">
        <v>22</v>
      </c>
      <c r="G115" s="144"/>
      <c r="H115" s="144"/>
      <c r="I115" s="144"/>
    </row>
    <row r="116" spans="1:9" ht="14.25" customHeight="1"/>
    <row r="117" spans="1:9" ht="14.25" customHeight="1"/>
    <row r="118" spans="1:9" ht="14.25" customHeight="1"/>
    <row r="119" spans="1:9" ht="14.25" customHeight="1"/>
    <row r="120" spans="1:9" ht="14.25" customHeight="1"/>
    <row r="121" spans="1:9" ht="14.25" customHeight="1"/>
    <row r="122" spans="1:9" ht="14.25" customHeight="1"/>
    <row r="123" spans="1:9" ht="14.25" customHeight="1"/>
    <row r="124" spans="1:9" ht="14.25" customHeight="1"/>
    <row r="125" spans="1:9" ht="14.25" customHeight="1"/>
    <row r="126" spans="1:9" ht="14.25" customHeight="1"/>
    <row r="127" spans="1:9" ht="14.25" customHeight="1"/>
    <row r="128" spans="1:9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9">
    <mergeCell ref="A35:D35"/>
    <mergeCell ref="F35:I35"/>
    <mergeCell ref="A36:D36"/>
    <mergeCell ref="F36:I36"/>
    <mergeCell ref="B40:I40"/>
    <mergeCell ref="B41:I41"/>
    <mergeCell ref="B42:I42"/>
    <mergeCell ref="A43:C43"/>
    <mergeCell ref="D43:I43"/>
    <mergeCell ref="F48:G48"/>
    <mergeCell ref="H48:I48"/>
    <mergeCell ref="B49:C49"/>
    <mergeCell ref="D49:E49"/>
    <mergeCell ref="F49:G49"/>
    <mergeCell ref="H49:I49"/>
    <mergeCell ref="H50:I50"/>
    <mergeCell ref="D44:E44"/>
    <mergeCell ref="F44:G44"/>
    <mergeCell ref="H44:I44"/>
    <mergeCell ref="A44:C44"/>
    <mergeCell ref="A45:C45"/>
    <mergeCell ref="D45:E45"/>
    <mergeCell ref="F45:G45"/>
    <mergeCell ref="H45:I45"/>
    <mergeCell ref="B48:C48"/>
    <mergeCell ref="D48:E48"/>
    <mergeCell ref="F52:G52"/>
    <mergeCell ref="H52:I52"/>
    <mergeCell ref="B50:C50"/>
    <mergeCell ref="B51:C51"/>
    <mergeCell ref="D51:E51"/>
    <mergeCell ref="F51:G51"/>
    <mergeCell ref="H51:I51"/>
    <mergeCell ref="B52:C52"/>
    <mergeCell ref="D52:E52"/>
    <mergeCell ref="D50:E50"/>
    <mergeCell ref="F50:G50"/>
    <mergeCell ref="D6:E6"/>
    <mergeCell ref="F6:G6"/>
    <mergeCell ref="A1:I1"/>
    <mergeCell ref="A2:I2"/>
    <mergeCell ref="A3:I3"/>
    <mergeCell ref="B4:I4"/>
    <mergeCell ref="A5:C5"/>
    <mergeCell ref="D5:I5"/>
    <mergeCell ref="H6:I6"/>
    <mergeCell ref="A6:C6"/>
    <mergeCell ref="A7:C7"/>
    <mergeCell ref="D7:E7"/>
    <mergeCell ref="F7:G7"/>
    <mergeCell ref="H7:I7"/>
    <mergeCell ref="A8:C8"/>
    <mergeCell ref="B9:C9"/>
    <mergeCell ref="H9:I9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4:C14"/>
    <mergeCell ref="D14:E14"/>
    <mergeCell ref="F14:G14"/>
    <mergeCell ref="H14:I14"/>
    <mergeCell ref="B11:C11"/>
    <mergeCell ref="B12:C12"/>
    <mergeCell ref="D12:E12"/>
    <mergeCell ref="F12:G12"/>
    <mergeCell ref="H12:I12"/>
    <mergeCell ref="B13:C13"/>
    <mergeCell ref="D13:E13"/>
    <mergeCell ref="D11:E11"/>
    <mergeCell ref="F11:G11"/>
    <mergeCell ref="B15:C15"/>
    <mergeCell ref="D15:E15"/>
    <mergeCell ref="F15:G15"/>
    <mergeCell ref="H15:I15"/>
    <mergeCell ref="F56:G56"/>
    <mergeCell ref="H56:I56"/>
    <mergeCell ref="D92:E92"/>
    <mergeCell ref="F92:G92"/>
    <mergeCell ref="A114:D114"/>
    <mergeCell ref="F114:I114"/>
    <mergeCell ref="B53:C53"/>
    <mergeCell ref="D53:E53"/>
    <mergeCell ref="F53:G53"/>
    <mergeCell ref="H53:I53"/>
    <mergeCell ref="D54:E54"/>
    <mergeCell ref="F54:G54"/>
    <mergeCell ref="H54:I54"/>
    <mergeCell ref="B54:C54"/>
    <mergeCell ref="B55:C55"/>
    <mergeCell ref="D55:E55"/>
    <mergeCell ref="F55:G55"/>
    <mergeCell ref="H55:I55"/>
    <mergeCell ref="B56:C56"/>
    <mergeCell ref="D56:E56"/>
    <mergeCell ref="A115:D115"/>
    <mergeCell ref="F115:I115"/>
    <mergeCell ref="D88:E88"/>
    <mergeCell ref="F88:G88"/>
    <mergeCell ref="B91:C91"/>
    <mergeCell ref="D91:E91"/>
    <mergeCell ref="F91:G91"/>
    <mergeCell ref="H91:I91"/>
    <mergeCell ref="H92:I92"/>
    <mergeCell ref="F94:G94"/>
    <mergeCell ref="H94:I94"/>
    <mergeCell ref="B92:C92"/>
    <mergeCell ref="B93:C93"/>
    <mergeCell ref="D93:E93"/>
    <mergeCell ref="F93:G93"/>
    <mergeCell ref="H93:I93"/>
    <mergeCell ref="B94:C94"/>
    <mergeCell ref="D94:E94"/>
    <mergeCell ref="B57:C57"/>
    <mergeCell ref="D57:E57"/>
    <mergeCell ref="F57:G57"/>
    <mergeCell ref="H57:I57"/>
    <mergeCell ref="D58:E58"/>
    <mergeCell ref="F58:G58"/>
    <mergeCell ref="H58:I58"/>
    <mergeCell ref="F60:G60"/>
    <mergeCell ref="H60:I60"/>
    <mergeCell ref="B58:C58"/>
    <mergeCell ref="B59:C59"/>
    <mergeCell ref="D59:E59"/>
    <mergeCell ref="F59:G59"/>
    <mergeCell ref="H59:I59"/>
    <mergeCell ref="B60:C60"/>
    <mergeCell ref="D60:E60"/>
    <mergeCell ref="A87:C87"/>
    <mergeCell ref="D87:E87"/>
    <mergeCell ref="F87:G87"/>
    <mergeCell ref="H87:I87"/>
    <mergeCell ref="A88:C88"/>
    <mergeCell ref="H88:I88"/>
    <mergeCell ref="A80:D80"/>
    <mergeCell ref="F80:I80"/>
    <mergeCell ref="A81:D81"/>
    <mergeCell ref="F81:I81"/>
    <mergeCell ref="B83:I83"/>
    <mergeCell ref="B84:I84"/>
    <mergeCell ref="B85:I85"/>
    <mergeCell ref="A86:C86"/>
    <mergeCell ref="D86:I86"/>
  </mergeCells>
  <pageMargins left="1.05" right="0.54" top="0.74803149606299213" bottom="0.74803149606299213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9" width="10.28515625" customWidth="1"/>
    <col min="10" max="26" width="9.140625" customWidth="1"/>
  </cols>
  <sheetData>
    <row r="1" spans="1:26" ht="53.25" customHeight="1">
      <c r="A1" s="186" t="s">
        <v>81</v>
      </c>
      <c r="B1" s="128"/>
      <c r="C1" s="128"/>
      <c r="D1" s="128"/>
      <c r="E1" s="128"/>
      <c r="F1" s="128"/>
      <c r="G1" s="128"/>
      <c r="H1" s="128"/>
      <c r="I1" s="126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9.5" customHeight="1">
      <c r="A2" s="175" t="s">
        <v>82</v>
      </c>
      <c r="B2" s="128"/>
      <c r="C2" s="128"/>
      <c r="D2" s="126"/>
      <c r="E2" s="175"/>
      <c r="F2" s="128"/>
      <c r="G2" s="128"/>
      <c r="H2" s="128"/>
      <c r="I2" s="126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9.5" customHeight="1">
      <c r="A3" s="187" t="s">
        <v>83</v>
      </c>
      <c r="B3" s="128"/>
      <c r="C3" s="128"/>
      <c r="D3" s="128"/>
      <c r="E3" s="128"/>
      <c r="F3" s="128"/>
      <c r="G3" s="128"/>
      <c r="H3" s="128"/>
      <c r="I3" s="126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9.5" customHeight="1">
      <c r="A4" s="188" t="str">
        <f>'Course Information'!N4</f>
        <v>Information Science &amp; Engg</v>
      </c>
      <c r="B4" s="128"/>
      <c r="C4" s="128"/>
      <c r="D4" s="128"/>
      <c r="E4" s="128"/>
      <c r="F4" s="128"/>
      <c r="G4" s="128"/>
      <c r="H4" s="128"/>
      <c r="I4" s="126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9.5" customHeight="1">
      <c r="A5" s="172" t="s">
        <v>13</v>
      </c>
      <c r="B5" s="128"/>
      <c r="C5" s="126"/>
      <c r="D5" s="172" t="str">
        <f>'Course Information'!$F$6</f>
        <v>DATA STRUCTURE AND APPLICATIONS</v>
      </c>
      <c r="E5" s="128"/>
      <c r="F5" s="128"/>
      <c r="G5" s="128"/>
      <c r="H5" s="128"/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172" t="s">
        <v>17</v>
      </c>
      <c r="B6" s="128"/>
      <c r="C6" s="126"/>
      <c r="D6" s="172" t="str">
        <f>'Course Information'!$F$7</f>
        <v>1BCS305</v>
      </c>
      <c r="E6" s="126"/>
      <c r="F6" s="172" t="s">
        <v>20</v>
      </c>
      <c r="G6" s="126"/>
      <c r="H6" s="172">
        <f>'Course Information'!$N$7</f>
        <v>0</v>
      </c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172" t="s">
        <v>6</v>
      </c>
      <c r="B7" s="128"/>
      <c r="C7" s="126"/>
      <c r="D7" s="172" t="str">
        <f>'Course Information'!$F$5</f>
        <v>2026-27</v>
      </c>
      <c r="E7" s="126"/>
      <c r="F7" s="172" t="s">
        <v>24</v>
      </c>
      <c r="G7" s="126"/>
      <c r="H7" s="172">
        <f>'Course Information'!$F$9</f>
        <v>0</v>
      </c>
      <c r="I7" s="1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6.75" customHeight="1">
      <c r="A8" s="179" t="s">
        <v>27</v>
      </c>
      <c r="B8" s="128"/>
      <c r="C8" s="128"/>
      <c r="D8" s="128"/>
      <c r="E8" s="126"/>
      <c r="F8" s="178" t="s">
        <v>84</v>
      </c>
      <c r="G8" s="126"/>
      <c r="H8" s="178" t="s">
        <v>85</v>
      </c>
      <c r="I8" s="126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0.75" customHeight="1">
      <c r="A9" s="170"/>
      <c r="B9" s="128"/>
      <c r="C9" s="128"/>
      <c r="D9" s="128"/>
      <c r="E9" s="126"/>
      <c r="F9" s="170" t="str">
        <f>Evaluation!J95</f>
        <v/>
      </c>
      <c r="G9" s="126"/>
      <c r="H9" s="194" t="str">
        <f>Evaluation!L95</f>
        <v/>
      </c>
      <c r="I9" s="138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0.75" customHeight="1">
      <c r="A10" s="170"/>
      <c r="B10" s="128"/>
      <c r="C10" s="128"/>
      <c r="D10" s="128"/>
      <c r="E10" s="126"/>
      <c r="F10" s="170" t="str">
        <f>Evaluation!J96</f>
        <v/>
      </c>
      <c r="G10" s="126"/>
      <c r="H10" s="139"/>
      <c r="I10" s="140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0.75" customHeight="1">
      <c r="A11" s="170"/>
      <c r="B11" s="128"/>
      <c r="C11" s="128"/>
      <c r="D11" s="128"/>
      <c r="E11" s="126"/>
      <c r="F11" s="170" t="str">
        <f>Evaluation!J97</f>
        <v/>
      </c>
      <c r="G11" s="126"/>
      <c r="H11" s="139"/>
      <c r="I11" s="140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0.75" customHeight="1">
      <c r="A12" s="170"/>
      <c r="B12" s="128"/>
      <c r="C12" s="128"/>
      <c r="D12" s="128"/>
      <c r="E12" s="126"/>
      <c r="F12" s="170" t="str">
        <f>Evaluation!J98</f>
        <v/>
      </c>
      <c r="G12" s="126"/>
      <c r="H12" s="139"/>
      <c r="I12" s="140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0.75" customHeight="1">
      <c r="A13" s="170"/>
      <c r="B13" s="128"/>
      <c r="C13" s="128"/>
      <c r="D13" s="128"/>
      <c r="E13" s="126"/>
      <c r="F13" s="170" t="str">
        <f>Evaluation!J99</f>
        <v/>
      </c>
      <c r="G13" s="126"/>
      <c r="H13" s="139"/>
      <c r="I13" s="140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0.75" customHeight="1">
      <c r="A14" s="170"/>
      <c r="B14" s="128"/>
      <c r="C14" s="128"/>
      <c r="D14" s="128"/>
      <c r="E14" s="126"/>
      <c r="F14" s="170" t="str">
        <f>Evaluation!J100</f>
        <v/>
      </c>
      <c r="G14" s="126"/>
      <c r="H14" s="141"/>
      <c r="I14" s="14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>
      <c r="A15" s="193" t="s">
        <v>86</v>
      </c>
      <c r="B15" s="128"/>
      <c r="C15" s="126"/>
      <c r="D15" s="193" t="s">
        <v>52</v>
      </c>
      <c r="E15" s="126"/>
      <c r="F15" s="193" t="s">
        <v>87</v>
      </c>
      <c r="G15" s="126"/>
      <c r="H15" s="193" t="s">
        <v>88</v>
      </c>
      <c r="I15" s="126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187" t="s">
        <v>37</v>
      </c>
      <c r="B16" s="128"/>
      <c r="C16" s="126"/>
      <c r="D16" s="191" t="str">
        <f>'Overall Attainment'!B49</f>
        <v>NA</v>
      </c>
      <c r="E16" s="126"/>
      <c r="F16" s="187" t="str">
        <f>'Overall Attainment'!D49</f>
        <v/>
      </c>
      <c r="G16" s="126"/>
      <c r="H16" s="192" t="str">
        <f>'Overall Attainment'!F49</f>
        <v/>
      </c>
      <c r="I16" s="126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>
      <c r="A17" s="187" t="s">
        <v>38</v>
      </c>
      <c r="B17" s="128"/>
      <c r="C17" s="126"/>
      <c r="D17" s="191" t="str">
        <f>'Overall Attainment'!B50</f>
        <v>NA</v>
      </c>
      <c r="E17" s="126"/>
      <c r="F17" s="187" t="str">
        <f>'Overall Attainment'!D50</f>
        <v/>
      </c>
      <c r="G17" s="126"/>
      <c r="H17" s="192" t="str">
        <f>'Overall Attainment'!F50</f>
        <v/>
      </c>
      <c r="I17" s="126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>
      <c r="A18" s="187" t="s">
        <v>39</v>
      </c>
      <c r="B18" s="128"/>
      <c r="C18" s="126"/>
      <c r="D18" s="191" t="str">
        <f>'Overall Attainment'!B51</f>
        <v>NA</v>
      </c>
      <c r="E18" s="126"/>
      <c r="F18" s="187" t="str">
        <f>'Overall Attainment'!D51</f>
        <v/>
      </c>
      <c r="G18" s="126"/>
      <c r="H18" s="192" t="str">
        <f>'Overall Attainment'!F51</f>
        <v/>
      </c>
      <c r="I18" s="126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>
      <c r="A19" s="187" t="s">
        <v>40</v>
      </c>
      <c r="B19" s="128"/>
      <c r="C19" s="126"/>
      <c r="D19" s="191" t="str">
        <f>'Overall Attainment'!B52</f>
        <v>NA</v>
      </c>
      <c r="E19" s="126"/>
      <c r="F19" s="187" t="str">
        <f>'Overall Attainment'!D52</f>
        <v/>
      </c>
      <c r="G19" s="126"/>
      <c r="H19" s="192" t="str">
        <f>'Overall Attainment'!F52</f>
        <v/>
      </c>
      <c r="I19" s="126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>
      <c r="A20" s="187" t="s">
        <v>41</v>
      </c>
      <c r="B20" s="128"/>
      <c r="C20" s="126"/>
      <c r="D20" s="191" t="str">
        <f>'Overall Attainment'!B53</f>
        <v>NA</v>
      </c>
      <c r="E20" s="126"/>
      <c r="F20" s="187" t="str">
        <f>'Overall Attainment'!D53</f>
        <v/>
      </c>
      <c r="G20" s="126"/>
      <c r="H20" s="192" t="str">
        <f>'Overall Attainment'!F53</f>
        <v/>
      </c>
      <c r="I20" s="126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>
      <c r="A21" s="187" t="s">
        <v>42</v>
      </c>
      <c r="B21" s="128"/>
      <c r="C21" s="126"/>
      <c r="D21" s="191" t="str">
        <f>'Overall Attainment'!B54</f>
        <v>NA</v>
      </c>
      <c r="E21" s="126"/>
      <c r="F21" s="187" t="str">
        <f>'Overall Attainment'!D54</f>
        <v/>
      </c>
      <c r="G21" s="126"/>
      <c r="H21" s="192" t="str">
        <f>'Overall Attainment'!F54</f>
        <v/>
      </c>
      <c r="I21" s="126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>
      <c r="A22" s="187" t="s">
        <v>43</v>
      </c>
      <c r="B22" s="128"/>
      <c r="C22" s="126"/>
      <c r="D22" s="191" t="str">
        <f>'Overall Attainment'!B55</f>
        <v>NA</v>
      </c>
      <c r="E22" s="126"/>
      <c r="F22" s="187" t="str">
        <f>'Overall Attainment'!D55</f>
        <v/>
      </c>
      <c r="G22" s="126"/>
      <c r="H22" s="192" t="str">
        <f>'Overall Attainment'!F55</f>
        <v/>
      </c>
      <c r="I22" s="126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>
      <c r="A23" s="187" t="s">
        <v>44</v>
      </c>
      <c r="B23" s="128"/>
      <c r="C23" s="126"/>
      <c r="D23" s="191" t="str">
        <f>'Overall Attainment'!B56</f>
        <v>NA</v>
      </c>
      <c r="E23" s="126"/>
      <c r="F23" s="187" t="str">
        <f>'Overall Attainment'!D56</f>
        <v/>
      </c>
      <c r="G23" s="126"/>
      <c r="H23" s="192" t="str">
        <f>'Overall Attainment'!F56</f>
        <v/>
      </c>
      <c r="I23" s="126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>
      <c r="A24" s="187" t="s">
        <v>45</v>
      </c>
      <c r="B24" s="128"/>
      <c r="C24" s="126"/>
      <c r="D24" s="191" t="str">
        <f>'Overall Attainment'!B57</f>
        <v>NA</v>
      </c>
      <c r="E24" s="126"/>
      <c r="F24" s="187" t="str">
        <f>'Overall Attainment'!D57</f>
        <v/>
      </c>
      <c r="G24" s="126"/>
      <c r="H24" s="192" t="str">
        <f>'Overall Attainment'!F57</f>
        <v/>
      </c>
      <c r="I24" s="126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>
      <c r="A25" s="187" t="s">
        <v>46</v>
      </c>
      <c r="B25" s="128"/>
      <c r="C25" s="126"/>
      <c r="D25" s="191" t="str">
        <f>'Overall Attainment'!B58</f>
        <v>NA</v>
      </c>
      <c r="E25" s="126"/>
      <c r="F25" s="187" t="str">
        <f>'Overall Attainment'!D58</f>
        <v/>
      </c>
      <c r="G25" s="126"/>
      <c r="H25" s="192" t="str">
        <f>'Overall Attainment'!F58</f>
        <v/>
      </c>
      <c r="I25" s="126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>
      <c r="A26" s="187" t="s">
        <v>47</v>
      </c>
      <c r="B26" s="128"/>
      <c r="C26" s="126"/>
      <c r="D26" s="191" t="str">
        <f>'Overall Attainment'!B59</f>
        <v>NA</v>
      </c>
      <c r="E26" s="126"/>
      <c r="F26" s="187" t="str">
        <f>'Overall Attainment'!D59</f>
        <v/>
      </c>
      <c r="G26" s="126"/>
      <c r="H26" s="192" t="str">
        <f>'Overall Attainment'!F59</f>
        <v/>
      </c>
      <c r="I26" s="126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>
      <c r="A27" s="187" t="s">
        <v>89</v>
      </c>
      <c r="B27" s="128"/>
      <c r="C27" s="126"/>
      <c r="D27" s="191" t="str">
        <f>'Overall Attainment'!B60</f>
        <v>NA</v>
      </c>
      <c r="E27" s="126"/>
      <c r="F27" s="187" t="str">
        <f>'Overall Attainment'!D60</f>
        <v/>
      </c>
      <c r="G27" s="126"/>
      <c r="H27" s="192" t="str">
        <f>'Overall Attainment'!F60</f>
        <v/>
      </c>
      <c r="I27" s="126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>
      <c r="A28" s="193" t="s">
        <v>90</v>
      </c>
      <c r="B28" s="128"/>
      <c r="C28" s="126"/>
      <c r="D28" s="193" t="s">
        <v>52</v>
      </c>
      <c r="E28" s="126"/>
      <c r="F28" s="193" t="s">
        <v>87</v>
      </c>
      <c r="G28" s="126"/>
      <c r="H28" s="193" t="s">
        <v>88</v>
      </c>
      <c r="I28" s="126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>
      <c r="A29" s="187" t="s">
        <v>48</v>
      </c>
      <c r="B29" s="128"/>
      <c r="C29" s="126"/>
      <c r="D29" s="191" t="str">
        <f>'Overall Attainment'!B92</f>
        <v>NA</v>
      </c>
      <c r="E29" s="126"/>
      <c r="F29" s="187" t="str">
        <f>'Overall Attainment'!D92</f>
        <v/>
      </c>
      <c r="G29" s="126"/>
      <c r="H29" s="192" t="str">
        <f>'Overall Attainment'!F92</f>
        <v/>
      </c>
      <c r="I29" s="126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>
      <c r="A30" s="187" t="s">
        <v>49</v>
      </c>
      <c r="B30" s="128"/>
      <c r="C30" s="126"/>
      <c r="D30" s="191" t="str">
        <f>'Overall Attainment'!B93</f>
        <v>NA</v>
      </c>
      <c r="E30" s="126"/>
      <c r="F30" s="187" t="str">
        <f>'Overall Attainment'!D93</f>
        <v/>
      </c>
      <c r="G30" s="126"/>
      <c r="H30" s="192" t="str">
        <f>'Overall Attainment'!F93</f>
        <v/>
      </c>
      <c r="I30" s="126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>
      <c r="A31" s="187" t="s">
        <v>50</v>
      </c>
      <c r="B31" s="128"/>
      <c r="C31" s="126"/>
      <c r="D31" s="191" t="str">
        <f>'Overall Attainment'!B94</f>
        <v>NA</v>
      </c>
      <c r="E31" s="126"/>
      <c r="F31" s="187" t="str">
        <f>'Overall Attainment'!D94</f>
        <v/>
      </c>
      <c r="G31" s="126"/>
      <c r="H31" s="192" t="str">
        <f>'Overall Attainment'!F94</f>
        <v/>
      </c>
      <c r="I31" s="126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>
      <c r="A32" s="189" t="s">
        <v>91</v>
      </c>
      <c r="B32" s="190"/>
      <c r="C32" s="190"/>
      <c r="D32" s="190"/>
      <c r="E32" s="190"/>
      <c r="F32" s="190"/>
      <c r="G32" s="190"/>
      <c r="H32" s="190"/>
      <c r="I32" s="138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>
      <c r="A33" s="139"/>
      <c r="B33" s="144"/>
      <c r="C33" s="144"/>
      <c r="D33" s="144"/>
      <c r="E33" s="144"/>
      <c r="F33" s="144"/>
      <c r="G33" s="144"/>
      <c r="H33" s="144"/>
      <c r="I33" s="140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>
      <c r="A34" s="139"/>
      <c r="B34" s="144"/>
      <c r="C34" s="144"/>
      <c r="D34" s="144"/>
      <c r="E34" s="144"/>
      <c r="F34" s="144"/>
      <c r="G34" s="144"/>
      <c r="H34" s="144"/>
      <c r="I34" s="140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139"/>
      <c r="B35" s="144"/>
      <c r="C35" s="144"/>
      <c r="D35" s="144"/>
      <c r="E35" s="144"/>
      <c r="F35" s="144"/>
      <c r="G35" s="144"/>
      <c r="H35" s="144"/>
      <c r="I35" s="140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>
      <c r="A36" s="139"/>
      <c r="B36" s="144"/>
      <c r="C36" s="144"/>
      <c r="D36" s="144"/>
      <c r="E36" s="144"/>
      <c r="F36" s="144"/>
      <c r="G36" s="144"/>
      <c r="H36" s="144"/>
      <c r="I36" s="140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>
      <c r="A37" s="141"/>
      <c r="B37" s="145"/>
      <c r="C37" s="145"/>
      <c r="D37" s="145"/>
      <c r="E37" s="145"/>
      <c r="F37" s="145"/>
      <c r="G37" s="145"/>
      <c r="H37" s="145"/>
      <c r="I37" s="14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24.75" customHeight="1"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20.25" customHeight="1">
      <c r="A39" s="161" t="str">
        <f>'Course Information'!F8</f>
        <v>Thara K L</v>
      </c>
      <c r="B39" s="144"/>
      <c r="C39" s="144"/>
      <c r="D39" s="144"/>
      <c r="E39" s="12"/>
      <c r="F39" s="161">
        <f>'Course Information'!N8</f>
        <v>0</v>
      </c>
      <c r="G39" s="144"/>
      <c r="H39" s="144"/>
      <c r="I39" s="14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20.25" customHeight="1">
      <c r="A40" s="161" t="s">
        <v>53</v>
      </c>
      <c r="B40" s="144"/>
      <c r="C40" s="144"/>
      <c r="D40" s="144"/>
      <c r="E40" s="12"/>
      <c r="F40" s="161" t="s">
        <v>22</v>
      </c>
      <c r="G40" s="144"/>
      <c r="H40" s="144"/>
      <c r="I40" s="14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A7:C7"/>
    <mergeCell ref="A8:E8"/>
    <mergeCell ref="F8:G8"/>
    <mergeCell ref="H8:I8"/>
    <mergeCell ref="A9:E9"/>
    <mergeCell ref="F9:G9"/>
    <mergeCell ref="H9:I14"/>
    <mergeCell ref="A14:E14"/>
    <mergeCell ref="F14:G14"/>
    <mergeCell ref="F12:G12"/>
    <mergeCell ref="A13:E13"/>
    <mergeCell ref="F13:G13"/>
    <mergeCell ref="A15:C15"/>
    <mergeCell ref="D15:E15"/>
    <mergeCell ref="F15:G15"/>
    <mergeCell ref="H15:I15"/>
    <mergeCell ref="A16:C16"/>
    <mergeCell ref="H16:I16"/>
    <mergeCell ref="D18:E18"/>
    <mergeCell ref="F18:G18"/>
    <mergeCell ref="D16:E16"/>
    <mergeCell ref="F16:G16"/>
    <mergeCell ref="A17:C17"/>
    <mergeCell ref="D17:E17"/>
    <mergeCell ref="F17:G17"/>
    <mergeCell ref="H17:I17"/>
    <mergeCell ref="H18:I18"/>
    <mergeCell ref="F20:G20"/>
    <mergeCell ref="H20:I20"/>
    <mergeCell ref="A18:C18"/>
    <mergeCell ref="A19:C19"/>
    <mergeCell ref="D19:E19"/>
    <mergeCell ref="F19:G19"/>
    <mergeCell ref="H19:I19"/>
    <mergeCell ref="A20:C20"/>
    <mergeCell ref="D20:E20"/>
    <mergeCell ref="A31:C31"/>
    <mergeCell ref="D31:E31"/>
    <mergeCell ref="F31:G31"/>
    <mergeCell ref="H31:I31"/>
    <mergeCell ref="F28:G28"/>
    <mergeCell ref="H28:I28"/>
    <mergeCell ref="A26:C26"/>
    <mergeCell ref="A27:C27"/>
    <mergeCell ref="D27:E27"/>
    <mergeCell ref="F27:G27"/>
    <mergeCell ref="H27:I27"/>
    <mergeCell ref="A28:C28"/>
    <mergeCell ref="D28:E28"/>
    <mergeCell ref="D26:E26"/>
    <mergeCell ref="F26:G26"/>
    <mergeCell ref="H26:I26"/>
    <mergeCell ref="A29:C29"/>
    <mergeCell ref="D29:E29"/>
    <mergeCell ref="F29:G29"/>
    <mergeCell ref="H29:I29"/>
    <mergeCell ref="D30:E30"/>
    <mergeCell ref="F30:G30"/>
    <mergeCell ref="H30:I30"/>
    <mergeCell ref="A30:C30"/>
    <mergeCell ref="A24:C24"/>
    <mergeCell ref="D24:E24"/>
    <mergeCell ref="F24:G24"/>
    <mergeCell ref="H24:I24"/>
    <mergeCell ref="A25:C25"/>
    <mergeCell ref="D25:E25"/>
    <mergeCell ref="F25:G25"/>
    <mergeCell ref="H25:I25"/>
    <mergeCell ref="A21:C21"/>
    <mergeCell ref="D21:E21"/>
    <mergeCell ref="F21:G21"/>
    <mergeCell ref="H21:I21"/>
    <mergeCell ref="D22:E22"/>
    <mergeCell ref="F22:G22"/>
    <mergeCell ref="H22:I22"/>
    <mergeCell ref="A22:C22"/>
    <mergeCell ref="A23:C23"/>
    <mergeCell ref="D23:E23"/>
    <mergeCell ref="F23:G23"/>
    <mergeCell ref="H23:I23"/>
    <mergeCell ref="A39:D39"/>
    <mergeCell ref="A40:D40"/>
    <mergeCell ref="F40:I40"/>
    <mergeCell ref="A32:I37"/>
    <mergeCell ref="F39:I39"/>
    <mergeCell ref="A1:I1"/>
    <mergeCell ref="A2:D2"/>
    <mergeCell ref="E2:I2"/>
    <mergeCell ref="A3:I3"/>
    <mergeCell ref="A4:I4"/>
    <mergeCell ref="A5:C5"/>
    <mergeCell ref="D5:I5"/>
    <mergeCell ref="A6:C6"/>
    <mergeCell ref="D6:E6"/>
    <mergeCell ref="F6:G6"/>
    <mergeCell ref="H6:I6"/>
    <mergeCell ref="D7:E7"/>
    <mergeCell ref="F7:G7"/>
    <mergeCell ref="H7:I7"/>
    <mergeCell ref="A10:E10"/>
    <mergeCell ref="F10:G10"/>
    <mergeCell ref="A11:E11"/>
    <mergeCell ref="F11:G11"/>
    <mergeCell ref="A12:E12"/>
  </mergeCells>
  <printOptions horizontalCentered="1"/>
  <pageMargins left="0.46" right="0.23622047244094491" top="0.74803149606299213" bottom="0.74803149606299213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2" width="14.42578125" customWidth="1"/>
    <col min="3" max="3" width="24.85546875" customWidth="1"/>
    <col min="4" max="6" width="14.42578125" customWidth="1"/>
  </cols>
  <sheetData>
    <row r="1" spans="1:26" ht="16.5">
      <c r="A1" s="203" t="s">
        <v>99</v>
      </c>
      <c r="B1" s="190"/>
      <c r="C1" s="190"/>
      <c r="D1" s="190"/>
      <c r="E1" s="190"/>
      <c r="F1" s="138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s="204" t="s">
        <v>100</v>
      </c>
      <c r="B2" s="145"/>
      <c r="C2" s="145"/>
      <c r="D2" s="145"/>
      <c r="E2" s="145"/>
      <c r="F2" s="14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205" t="str">
        <f>'Course Information'!$N$4</f>
        <v>Information Science &amp; Engg</v>
      </c>
      <c r="B3" s="128"/>
      <c r="C3" s="128"/>
      <c r="D3" s="128"/>
      <c r="E3" s="128"/>
      <c r="F3" s="12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202" t="s">
        <v>101</v>
      </c>
      <c r="B4" s="126"/>
      <c r="C4" s="205" t="str">
        <f>'Course Information'!$F$5</f>
        <v>2026-27</v>
      </c>
      <c r="D4" s="128"/>
      <c r="E4" s="128"/>
      <c r="F4" s="126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3" t="s">
        <v>102</v>
      </c>
      <c r="B5" s="8" t="str">
        <f>'Course Information'!N5</f>
        <v>III</v>
      </c>
      <c r="C5" s="34" t="s">
        <v>104</v>
      </c>
      <c r="D5" s="170" t="str">
        <f>'Course Information'!P5</f>
        <v>A</v>
      </c>
      <c r="E5" s="128"/>
      <c r="F5" s="12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35" t="s">
        <v>105</v>
      </c>
      <c r="B6" s="201" t="str">
        <f>'Course Information'!$F$6</f>
        <v>DATA STRUCTURE AND APPLICATIONS</v>
      </c>
      <c r="C6" s="128"/>
      <c r="D6" s="126"/>
      <c r="E6" s="35" t="s">
        <v>106</v>
      </c>
      <c r="F6" s="36" t="str">
        <f>'Course Information'!$F$7</f>
        <v>1BCS305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202" t="s">
        <v>107</v>
      </c>
      <c r="B7" s="126"/>
      <c r="C7" s="170" t="str">
        <f>'Course Information'!F8</f>
        <v>Thara K L</v>
      </c>
      <c r="D7" s="128"/>
      <c r="E7" s="128"/>
      <c r="F7" s="126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202" t="s">
        <v>108</v>
      </c>
      <c r="B8" s="126"/>
      <c r="C8" s="37"/>
      <c r="D8" s="202" t="s">
        <v>109</v>
      </c>
      <c r="E8" s="128"/>
      <c r="F8" s="12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199" t="s">
        <v>57</v>
      </c>
      <c r="B9" s="200" t="s">
        <v>58</v>
      </c>
      <c r="C9" s="200" t="s">
        <v>110</v>
      </c>
      <c r="D9" s="39" t="s">
        <v>111</v>
      </c>
      <c r="E9" s="38">
        <v>19</v>
      </c>
      <c r="F9" s="37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150"/>
      <c r="B10" s="150"/>
      <c r="C10" s="150"/>
      <c r="D10" s="39" t="s">
        <v>112</v>
      </c>
      <c r="E10" s="38" t="s">
        <v>113</v>
      </c>
      <c r="F10" s="38" t="s">
        <v>109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40">
        <v>1</v>
      </c>
      <c r="B11" s="8">
        <f>'Course Information'!B24</f>
        <v>0</v>
      </c>
      <c r="C11" s="8">
        <f>'Course Information'!D24</f>
        <v>0</v>
      </c>
      <c r="D11" s="41"/>
      <c r="E11" s="42">
        <f t="shared" ref="E11:E76" si="0">IFERROR(ROUNDUP((D11/$E$9)*100,0),"")</f>
        <v>0</v>
      </c>
      <c r="F11" s="36">
        <f>Evaluation!N8</f>
        <v>0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40">
        <v>2</v>
      </c>
      <c r="B12" s="8">
        <f>'Course Information'!B25</f>
        <v>0</v>
      </c>
      <c r="C12" s="8">
        <f>'Course Information'!D25</f>
        <v>0</v>
      </c>
      <c r="D12" s="41"/>
      <c r="E12" s="42">
        <f t="shared" si="0"/>
        <v>0</v>
      </c>
      <c r="F12" s="36">
        <f>Evaluation!N9</f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40">
        <v>3</v>
      </c>
      <c r="B13" s="8">
        <f>'Course Information'!B26</f>
        <v>0</v>
      </c>
      <c r="C13" s="8">
        <f>'Course Information'!D26</f>
        <v>0</v>
      </c>
      <c r="D13" s="41"/>
      <c r="E13" s="42">
        <f t="shared" si="0"/>
        <v>0</v>
      </c>
      <c r="F13" s="36">
        <f>Evaluation!N10</f>
        <v>0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40">
        <v>4</v>
      </c>
      <c r="B14" s="8">
        <f>'Course Information'!B27</f>
        <v>0</v>
      </c>
      <c r="C14" s="8">
        <f>'Course Information'!D27</f>
        <v>0</v>
      </c>
      <c r="D14" s="41"/>
      <c r="E14" s="42">
        <f t="shared" si="0"/>
        <v>0</v>
      </c>
      <c r="F14" s="36">
        <f>Evaluation!N11</f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40">
        <v>5</v>
      </c>
      <c r="B15" s="8">
        <f>'Course Information'!B28</f>
        <v>0</v>
      </c>
      <c r="C15" s="8">
        <f>'Course Information'!D28</f>
        <v>0</v>
      </c>
      <c r="D15" s="41"/>
      <c r="E15" s="42">
        <f t="shared" si="0"/>
        <v>0</v>
      </c>
      <c r="F15" s="36">
        <f>Evaluation!N12</f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40">
        <v>6</v>
      </c>
      <c r="B16" s="8">
        <f>'Course Information'!B29</f>
        <v>0</v>
      </c>
      <c r="C16" s="8">
        <f>'Course Information'!D29</f>
        <v>0</v>
      </c>
      <c r="D16" s="41"/>
      <c r="E16" s="42">
        <f t="shared" si="0"/>
        <v>0</v>
      </c>
      <c r="F16" s="36">
        <f>Evaluation!N13</f>
        <v>0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40">
        <v>7</v>
      </c>
      <c r="B17" s="8">
        <f>'Course Information'!B30</f>
        <v>0</v>
      </c>
      <c r="C17" s="8">
        <f>'Course Information'!D30</f>
        <v>0</v>
      </c>
      <c r="D17" s="41"/>
      <c r="E17" s="42">
        <f t="shared" si="0"/>
        <v>0</v>
      </c>
      <c r="F17" s="36">
        <f>Evaluation!N14</f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40">
        <v>8</v>
      </c>
      <c r="B18" s="8">
        <f>'Course Information'!B31</f>
        <v>0</v>
      </c>
      <c r="C18" s="8">
        <f>'Course Information'!D31</f>
        <v>0</v>
      </c>
      <c r="D18" s="41"/>
      <c r="E18" s="42">
        <f t="shared" si="0"/>
        <v>0</v>
      </c>
      <c r="F18" s="36">
        <f>Evaluation!N15</f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40">
        <v>9</v>
      </c>
      <c r="B19" s="8">
        <f>'Course Information'!B32</f>
        <v>0</v>
      </c>
      <c r="C19" s="8">
        <f>'Course Information'!D32</f>
        <v>0</v>
      </c>
      <c r="D19" s="41"/>
      <c r="E19" s="42">
        <f t="shared" si="0"/>
        <v>0</v>
      </c>
      <c r="F19" s="36">
        <f>Evaluation!N16</f>
        <v>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40">
        <v>10</v>
      </c>
      <c r="B20" s="8">
        <f>'Course Information'!B33</f>
        <v>0</v>
      </c>
      <c r="C20" s="8">
        <f>'Course Information'!D33</f>
        <v>0</v>
      </c>
      <c r="D20" s="41"/>
      <c r="E20" s="42">
        <f t="shared" si="0"/>
        <v>0</v>
      </c>
      <c r="F20" s="36">
        <f>Evaluation!N17</f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40">
        <v>11</v>
      </c>
      <c r="B21" s="8">
        <f>'Course Information'!B34</f>
        <v>0</v>
      </c>
      <c r="C21" s="8">
        <f>'Course Information'!D34</f>
        <v>0</v>
      </c>
      <c r="D21" s="41"/>
      <c r="E21" s="42">
        <f t="shared" si="0"/>
        <v>0</v>
      </c>
      <c r="F21" s="36">
        <f>Evaluation!N18</f>
        <v>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40">
        <v>12</v>
      </c>
      <c r="B22" s="8">
        <f>'Course Information'!B35</f>
        <v>0</v>
      </c>
      <c r="C22" s="8">
        <f>'Course Information'!D35</f>
        <v>0</v>
      </c>
      <c r="D22" s="41"/>
      <c r="E22" s="42">
        <f t="shared" si="0"/>
        <v>0</v>
      </c>
      <c r="F22" s="36">
        <f>Evaluation!N19</f>
        <v>0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40">
        <v>13</v>
      </c>
      <c r="B23" s="8">
        <f>'Course Information'!B36</f>
        <v>0</v>
      </c>
      <c r="C23" s="8">
        <f>'Course Information'!D36</f>
        <v>0</v>
      </c>
      <c r="D23" s="41"/>
      <c r="E23" s="42">
        <f t="shared" si="0"/>
        <v>0</v>
      </c>
      <c r="F23" s="36">
        <f>Evaluation!N20</f>
        <v>0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40">
        <v>14</v>
      </c>
      <c r="B24" s="8">
        <f>'Course Information'!B37</f>
        <v>0</v>
      </c>
      <c r="C24" s="8">
        <f>'Course Information'!D37</f>
        <v>0</v>
      </c>
      <c r="D24" s="41"/>
      <c r="E24" s="42">
        <f t="shared" si="0"/>
        <v>0</v>
      </c>
      <c r="F24" s="36">
        <f>Evaluation!N21</f>
        <v>0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40">
        <v>15</v>
      </c>
      <c r="B25" s="8">
        <f>'Course Information'!B38</f>
        <v>0</v>
      </c>
      <c r="C25" s="8">
        <f>'Course Information'!D38</f>
        <v>0</v>
      </c>
      <c r="D25" s="41"/>
      <c r="E25" s="42">
        <f t="shared" si="0"/>
        <v>0</v>
      </c>
      <c r="F25" s="36">
        <f>Evaluation!N22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40">
        <v>16</v>
      </c>
      <c r="B26" s="8">
        <f>'Course Information'!B39</f>
        <v>0</v>
      </c>
      <c r="C26" s="8">
        <f>'Course Information'!D39</f>
        <v>0</v>
      </c>
      <c r="D26" s="41"/>
      <c r="E26" s="42">
        <f t="shared" si="0"/>
        <v>0</v>
      </c>
      <c r="F26" s="36">
        <f>Evaluation!N23</f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40">
        <v>17</v>
      </c>
      <c r="B27" s="8">
        <f>'Course Information'!B40</f>
        <v>0</v>
      </c>
      <c r="C27" s="8">
        <f>'Course Information'!D40</f>
        <v>0</v>
      </c>
      <c r="D27" s="41"/>
      <c r="E27" s="42">
        <f t="shared" si="0"/>
        <v>0</v>
      </c>
      <c r="F27" s="36">
        <f>Evaluation!N24</f>
        <v>0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40">
        <v>18</v>
      </c>
      <c r="B28" s="8">
        <f>'Course Information'!B41</f>
        <v>0</v>
      </c>
      <c r="C28" s="8">
        <f>'Course Information'!D41</f>
        <v>0</v>
      </c>
      <c r="D28" s="41"/>
      <c r="E28" s="42">
        <f t="shared" si="0"/>
        <v>0</v>
      </c>
      <c r="F28" s="36">
        <f>Evaluation!N25</f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>
      <c r="A29" s="40">
        <v>19</v>
      </c>
      <c r="B29" s="8">
        <f>'Course Information'!B42</f>
        <v>0</v>
      </c>
      <c r="C29" s="8">
        <f>'Course Information'!D42</f>
        <v>0</v>
      </c>
      <c r="D29" s="41"/>
      <c r="E29" s="42">
        <f t="shared" si="0"/>
        <v>0</v>
      </c>
      <c r="F29" s="36">
        <f>Evaluation!N26</f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>
      <c r="A30" s="40">
        <v>20</v>
      </c>
      <c r="B30" s="8">
        <f>'Course Information'!B43</f>
        <v>0</v>
      </c>
      <c r="C30" s="8">
        <f>'Course Information'!D43</f>
        <v>0</v>
      </c>
      <c r="D30" s="41"/>
      <c r="E30" s="42">
        <f t="shared" si="0"/>
        <v>0</v>
      </c>
      <c r="F30" s="36">
        <f>Evaluation!N27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>
      <c r="A31" s="40">
        <v>21</v>
      </c>
      <c r="B31" s="8">
        <f>'Course Information'!B44</f>
        <v>0</v>
      </c>
      <c r="C31" s="8">
        <f>'Course Information'!D44</f>
        <v>0</v>
      </c>
      <c r="D31" s="41"/>
      <c r="E31" s="42">
        <f t="shared" si="0"/>
        <v>0</v>
      </c>
      <c r="F31" s="36">
        <f>Evaluation!N28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>
      <c r="A32" s="40">
        <v>22</v>
      </c>
      <c r="B32" s="8">
        <f>'Course Information'!B45</f>
        <v>0</v>
      </c>
      <c r="C32" s="8">
        <f>'Course Information'!D45</f>
        <v>0</v>
      </c>
      <c r="D32" s="41"/>
      <c r="E32" s="42">
        <f t="shared" si="0"/>
        <v>0</v>
      </c>
      <c r="F32" s="36">
        <f>Evaluation!N29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>
      <c r="A33" s="40">
        <v>23</v>
      </c>
      <c r="B33" s="8">
        <f>'Course Information'!B46</f>
        <v>0</v>
      </c>
      <c r="C33" s="8">
        <f>'Course Information'!D46</f>
        <v>0</v>
      </c>
      <c r="D33" s="41"/>
      <c r="E33" s="42">
        <f t="shared" si="0"/>
        <v>0</v>
      </c>
      <c r="F33" s="36">
        <f>Evaluation!N30</f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>
      <c r="A34" s="40">
        <v>24</v>
      </c>
      <c r="B34" s="8">
        <f>'Course Information'!B47</f>
        <v>0</v>
      </c>
      <c r="C34" s="8">
        <f>'Course Information'!D47</f>
        <v>0</v>
      </c>
      <c r="D34" s="41"/>
      <c r="E34" s="42">
        <f t="shared" si="0"/>
        <v>0</v>
      </c>
      <c r="F34" s="36">
        <f>Evaluation!N31</f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>
      <c r="A35" s="40">
        <v>25</v>
      </c>
      <c r="B35" s="8">
        <f>'Course Information'!B48</f>
        <v>0</v>
      </c>
      <c r="C35" s="8">
        <f>'Course Information'!D48</f>
        <v>0</v>
      </c>
      <c r="D35" s="41"/>
      <c r="E35" s="42">
        <f t="shared" si="0"/>
        <v>0</v>
      </c>
      <c r="F35" s="36">
        <f>Evaluation!N32</f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>
      <c r="A36" s="40">
        <v>26</v>
      </c>
      <c r="B36" s="8">
        <f>'Course Information'!B49</f>
        <v>0</v>
      </c>
      <c r="C36" s="8">
        <f>'Course Information'!D49</f>
        <v>0</v>
      </c>
      <c r="D36" s="41"/>
      <c r="E36" s="42">
        <f t="shared" si="0"/>
        <v>0</v>
      </c>
      <c r="F36" s="36">
        <f>Evaluation!N33</f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>
      <c r="A37" s="40">
        <v>27</v>
      </c>
      <c r="B37" s="8">
        <f>'Course Information'!B50</f>
        <v>0</v>
      </c>
      <c r="C37" s="8">
        <f>'Course Information'!D50</f>
        <v>0</v>
      </c>
      <c r="D37" s="41"/>
      <c r="E37" s="42">
        <f t="shared" si="0"/>
        <v>0</v>
      </c>
      <c r="F37" s="36">
        <f>Evaluation!N34</f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>
      <c r="A38" s="40">
        <v>28</v>
      </c>
      <c r="B38" s="8">
        <f>'Course Information'!B51</f>
        <v>0</v>
      </c>
      <c r="C38" s="8">
        <f>'Course Information'!D51</f>
        <v>0</v>
      </c>
      <c r="D38" s="41"/>
      <c r="E38" s="42">
        <f t="shared" si="0"/>
        <v>0</v>
      </c>
      <c r="F38" s="36">
        <f>Evaluation!N35</f>
        <v>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>
      <c r="A39" s="40">
        <v>29</v>
      </c>
      <c r="B39" s="8">
        <f>'Course Information'!B52</f>
        <v>0</v>
      </c>
      <c r="C39" s="8">
        <f>'Course Information'!D52</f>
        <v>0</v>
      </c>
      <c r="D39" s="41"/>
      <c r="E39" s="42">
        <f t="shared" si="0"/>
        <v>0</v>
      </c>
      <c r="F39" s="36">
        <f>Evaluation!N36</f>
        <v>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>
      <c r="A40" s="40">
        <v>30</v>
      </c>
      <c r="B40" s="8">
        <f>'Course Information'!B53</f>
        <v>0</v>
      </c>
      <c r="C40" s="8">
        <f>'Course Information'!D53</f>
        <v>0</v>
      </c>
      <c r="D40" s="41"/>
      <c r="E40" s="42">
        <f t="shared" si="0"/>
        <v>0</v>
      </c>
      <c r="F40" s="36">
        <f>Evaluation!N37</f>
        <v>0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>
      <c r="A41" s="40">
        <v>31</v>
      </c>
      <c r="B41" s="8">
        <f>'Course Information'!B54</f>
        <v>0</v>
      </c>
      <c r="C41" s="8">
        <f>'Course Information'!D54</f>
        <v>0</v>
      </c>
      <c r="D41" s="41"/>
      <c r="E41" s="42">
        <f t="shared" si="0"/>
        <v>0</v>
      </c>
      <c r="F41" s="36">
        <f>Evaluation!N38</f>
        <v>0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>
      <c r="A42" s="40">
        <v>32</v>
      </c>
      <c r="B42" s="8">
        <f>'Course Information'!B55</f>
        <v>0</v>
      </c>
      <c r="C42" s="8">
        <f>'Course Information'!D55</f>
        <v>0</v>
      </c>
      <c r="D42" s="41"/>
      <c r="E42" s="42">
        <f t="shared" si="0"/>
        <v>0</v>
      </c>
      <c r="F42" s="36">
        <f>Evaluation!N39</f>
        <v>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>
      <c r="A43" s="40">
        <v>33</v>
      </c>
      <c r="B43" s="8">
        <f>'Course Information'!B56</f>
        <v>0</v>
      </c>
      <c r="C43" s="8">
        <f>'Course Information'!D56</f>
        <v>0</v>
      </c>
      <c r="D43" s="41"/>
      <c r="E43" s="42">
        <f t="shared" si="0"/>
        <v>0</v>
      </c>
      <c r="F43" s="36">
        <f>Evaluation!N40</f>
        <v>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40">
        <v>34</v>
      </c>
      <c r="B44" s="8">
        <f>'Course Information'!B57</f>
        <v>0</v>
      </c>
      <c r="C44" s="8">
        <f>'Course Information'!D57</f>
        <v>0</v>
      </c>
      <c r="D44" s="41"/>
      <c r="E44" s="42">
        <f t="shared" si="0"/>
        <v>0</v>
      </c>
      <c r="F44" s="36">
        <f>Evaluation!N41</f>
        <v>0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40">
        <v>35</v>
      </c>
      <c r="B45" s="8">
        <f>'Course Information'!B58</f>
        <v>0</v>
      </c>
      <c r="C45" s="8">
        <f>'Course Information'!D58</f>
        <v>0</v>
      </c>
      <c r="D45" s="41"/>
      <c r="E45" s="42">
        <f t="shared" si="0"/>
        <v>0</v>
      </c>
      <c r="F45" s="36">
        <f>Evaluation!N42</f>
        <v>0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>
      <c r="A46" s="40">
        <v>36</v>
      </c>
      <c r="B46" s="8">
        <f>'Course Information'!B59</f>
        <v>0</v>
      </c>
      <c r="C46" s="8">
        <f>'Course Information'!D59</f>
        <v>0</v>
      </c>
      <c r="D46" s="41"/>
      <c r="E46" s="42">
        <f t="shared" si="0"/>
        <v>0</v>
      </c>
      <c r="F46" s="36">
        <f>Evaluation!N43</f>
        <v>0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>
      <c r="A47" s="40">
        <v>37</v>
      </c>
      <c r="B47" s="8">
        <f>'Course Information'!B60</f>
        <v>0</v>
      </c>
      <c r="C47" s="8">
        <f>'Course Information'!D60</f>
        <v>0</v>
      </c>
      <c r="D47" s="41"/>
      <c r="E47" s="42">
        <f t="shared" si="0"/>
        <v>0</v>
      </c>
      <c r="F47" s="36">
        <f>Evaluation!N44</f>
        <v>0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>
      <c r="A48" s="40">
        <v>38</v>
      </c>
      <c r="B48" s="8">
        <f>'Course Information'!B61</f>
        <v>0</v>
      </c>
      <c r="C48" s="8">
        <f>'Course Information'!D61</f>
        <v>0</v>
      </c>
      <c r="D48" s="41"/>
      <c r="E48" s="42">
        <f t="shared" si="0"/>
        <v>0</v>
      </c>
      <c r="F48" s="36">
        <f>Evaluation!N45</f>
        <v>0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>
      <c r="A49" s="40">
        <v>39</v>
      </c>
      <c r="B49" s="8">
        <f>'Course Information'!B62</f>
        <v>0</v>
      </c>
      <c r="C49" s="8">
        <f>'Course Information'!D62</f>
        <v>0</v>
      </c>
      <c r="D49" s="41"/>
      <c r="E49" s="42">
        <f t="shared" si="0"/>
        <v>0</v>
      </c>
      <c r="F49" s="36">
        <f>Evaluation!N46</f>
        <v>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40">
        <v>40</v>
      </c>
      <c r="B50" s="8">
        <f>'Course Information'!B63</f>
        <v>0</v>
      </c>
      <c r="C50" s="8">
        <f>'Course Information'!D63</f>
        <v>0</v>
      </c>
      <c r="D50" s="41"/>
      <c r="E50" s="42">
        <f t="shared" si="0"/>
        <v>0</v>
      </c>
      <c r="F50" s="36">
        <f>Evaluation!N47</f>
        <v>0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>
      <c r="A51" s="40">
        <v>41</v>
      </c>
      <c r="B51" s="8">
        <f>'Course Information'!B64</f>
        <v>0</v>
      </c>
      <c r="C51" s="8">
        <f>'Course Information'!D64</f>
        <v>0</v>
      </c>
      <c r="D51" s="41"/>
      <c r="E51" s="42">
        <f t="shared" si="0"/>
        <v>0</v>
      </c>
      <c r="F51" s="36">
        <f>Evaluation!N48</f>
        <v>0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40">
        <v>42</v>
      </c>
      <c r="B52" s="8">
        <f>'Course Information'!B65</f>
        <v>0</v>
      </c>
      <c r="C52" s="8">
        <f>'Course Information'!D65</f>
        <v>0</v>
      </c>
      <c r="D52" s="41"/>
      <c r="E52" s="42">
        <f t="shared" si="0"/>
        <v>0</v>
      </c>
      <c r="F52" s="36">
        <f>Evaluation!N49</f>
        <v>0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40">
        <v>43</v>
      </c>
      <c r="B53" s="8">
        <f>'Course Information'!B66</f>
        <v>0</v>
      </c>
      <c r="C53" s="8">
        <f>'Course Information'!D66</f>
        <v>0</v>
      </c>
      <c r="D53" s="41"/>
      <c r="E53" s="42">
        <f t="shared" si="0"/>
        <v>0</v>
      </c>
      <c r="F53" s="36">
        <f>Evaluation!N50</f>
        <v>0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40">
        <v>44</v>
      </c>
      <c r="B54" s="8">
        <f>'Course Information'!B67</f>
        <v>0</v>
      </c>
      <c r="C54" s="8">
        <f>'Course Information'!D67</f>
        <v>0</v>
      </c>
      <c r="D54" s="41"/>
      <c r="E54" s="42">
        <f t="shared" si="0"/>
        <v>0</v>
      </c>
      <c r="F54" s="36">
        <f>Evaluation!N51</f>
        <v>0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40">
        <v>45</v>
      </c>
      <c r="B55" s="8">
        <f>'Course Information'!B68</f>
        <v>0</v>
      </c>
      <c r="C55" s="8">
        <f>'Course Information'!D68</f>
        <v>0</v>
      </c>
      <c r="D55" s="41"/>
      <c r="E55" s="42">
        <f t="shared" si="0"/>
        <v>0</v>
      </c>
      <c r="F55" s="36">
        <f>Evaluation!N52</f>
        <v>0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40">
        <v>46</v>
      </c>
      <c r="B56" s="8">
        <f>'Course Information'!B69</f>
        <v>0</v>
      </c>
      <c r="C56" s="8">
        <f>'Course Information'!D69</f>
        <v>0</v>
      </c>
      <c r="D56" s="41"/>
      <c r="E56" s="42">
        <f t="shared" si="0"/>
        <v>0</v>
      </c>
      <c r="F56" s="36">
        <f>Evaluation!N53</f>
        <v>0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40">
        <v>47</v>
      </c>
      <c r="B57" s="8">
        <f>'Course Information'!B70</f>
        <v>0</v>
      </c>
      <c r="C57" s="8">
        <f>'Course Information'!D70</f>
        <v>0</v>
      </c>
      <c r="D57" s="41"/>
      <c r="E57" s="42">
        <f t="shared" si="0"/>
        <v>0</v>
      </c>
      <c r="F57" s="36">
        <f>Evaluation!N54</f>
        <v>0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40">
        <v>48</v>
      </c>
      <c r="B58" s="8">
        <f>'Course Information'!B71</f>
        <v>0</v>
      </c>
      <c r="C58" s="8">
        <f>'Course Information'!D71</f>
        <v>0</v>
      </c>
      <c r="D58" s="41"/>
      <c r="E58" s="42">
        <f t="shared" si="0"/>
        <v>0</v>
      </c>
      <c r="F58" s="36">
        <f>Evaluation!N55</f>
        <v>0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40">
        <v>49</v>
      </c>
      <c r="B59" s="8">
        <f>'Course Information'!B72</f>
        <v>0</v>
      </c>
      <c r="C59" s="8">
        <f>'Course Information'!D72</f>
        <v>0</v>
      </c>
      <c r="D59" s="41"/>
      <c r="E59" s="42">
        <f t="shared" si="0"/>
        <v>0</v>
      </c>
      <c r="F59" s="36">
        <f>Evaluation!N56</f>
        <v>0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40">
        <v>50</v>
      </c>
      <c r="B60" s="8">
        <f>'Course Information'!B73</f>
        <v>0</v>
      </c>
      <c r="C60" s="8">
        <f>'Course Information'!D73</f>
        <v>0</v>
      </c>
      <c r="D60" s="41"/>
      <c r="E60" s="42">
        <f t="shared" si="0"/>
        <v>0</v>
      </c>
      <c r="F60" s="36">
        <f>Evaluation!N57</f>
        <v>0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40">
        <v>51</v>
      </c>
      <c r="B61" s="8">
        <f>'Course Information'!B74</f>
        <v>0</v>
      </c>
      <c r="C61" s="8">
        <f>'Course Information'!D74</f>
        <v>0</v>
      </c>
      <c r="D61" s="41"/>
      <c r="E61" s="42">
        <f t="shared" si="0"/>
        <v>0</v>
      </c>
      <c r="F61" s="36">
        <f>Evaluation!N58</f>
        <v>0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40">
        <v>52</v>
      </c>
      <c r="B62" s="8">
        <f>'Course Information'!B75</f>
        <v>0</v>
      </c>
      <c r="C62" s="8">
        <f>'Course Information'!D75</f>
        <v>0</v>
      </c>
      <c r="D62" s="41"/>
      <c r="E62" s="42">
        <f t="shared" si="0"/>
        <v>0</v>
      </c>
      <c r="F62" s="36">
        <f>Evaluation!N59</f>
        <v>0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40">
        <v>53</v>
      </c>
      <c r="B63" s="8">
        <f>'Course Information'!B76</f>
        <v>0</v>
      </c>
      <c r="C63" s="8">
        <f>'Course Information'!D76</f>
        <v>0</v>
      </c>
      <c r="D63" s="41"/>
      <c r="E63" s="42">
        <f t="shared" si="0"/>
        <v>0</v>
      </c>
      <c r="F63" s="36">
        <f>Evaluation!N60</f>
        <v>0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40">
        <v>54</v>
      </c>
      <c r="B64" s="8">
        <f>'Course Information'!B77</f>
        <v>0</v>
      </c>
      <c r="C64" s="8">
        <f>'Course Information'!D77</f>
        <v>0</v>
      </c>
      <c r="D64" s="41"/>
      <c r="E64" s="42">
        <f t="shared" si="0"/>
        <v>0</v>
      </c>
      <c r="F64" s="36">
        <f>Evaluation!N61</f>
        <v>0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40">
        <v>55</v>
      </c>
      <c r="B65" s="8">
        <f>'Course Information'!B78</f>
        <v>0</v>
      </c>
      <c r="C65" s="8">
        <f>'Course Information'!D78</f>
        <v>0</v>
      </c>
      <c r="D65" s="41"/>
      <c r="E65" s="42">
        <f t="shared" si="0"/>
        <v>0</v>
      </c>
      <c r="F65" s="36">
        <f>Evaluation!N62</f>
        <v>0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40">
        <v>56</v>
      </c>
      <c r="B66" s="8">
        <f>'Course Information'!B79</f>
        <v>0</v>
      </c>
      <c r="C66" s="8">
        <f>'Course Information'!D79</f>
        <v>0</v>
      </c>
      <c r="D66" s="41"/>
      <c r="E66" s="42">
        <f t="shared" si="0"/>
        <v>0</v>
      </c>
      <c r="F66" s="36">
        <f>Evaluation!N63</f>
        <v>0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40">
        <v>57</v>
      </c>
      <c r="B67" s="8">
        <f>'Course Information'!B80</f>
        <v>0</v>
      </c>
      <c r="C67" s="8">
        <f>'Course Information'!D80</f>
        <v>0</v>
      </c>
      <c r="D67" s="41"/>
      <c r="E67" s="42">
        <f t="shared" si="0"/>
        <v>0</v>
      </c>
      <c r="F67" s="36">
        <f>Evaluation!N64</f>
        <v>0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40">
        <v>58</v>
      </c>
      <c r="B68" s="8">
        <f>'Course Information'!B81</f>
        <v>0</v>
      </c>
      <c r="C68" s="8">
        <f>'Course Information'!D81</f>
        <v>0</v>
      </c>
      <c r="D68" s="41"/>
      <c r="E68" s="42">
        <f t="shared" si="0"/>
        <v>0</v>
      </c>
      <c r="F68" s="36">
        <f>Evaluation!N65</f>
        <v>0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40">
        <v>59</v>
      </c>
      <c r="B69" s="8">
        <f>'Course Information'!B82</f>
        <v>0</v>
      </c>
      <c r="C69" s="8">
        <f>'Course Information'!D82</f>
        <v>0</v>
      </c>
      <c r="D69" s="41"/>
      <c r="E69" s="42">
        <f t="shared" si="0"/>
        <v>0</v>
      </c>
      <c r="F69" s="36">
        <f>Evaluation!N66</f>
        <v>0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40">
        <v>60</v>
      </c>
      <c r="B70" s="8">
        <f>'Course Information'!B83</f>
        <v>0</v>
      </c>
      <c r="C70" s="8">
        <f>'Course Information'!D83</f>
        <v>0</v>
      </c>
      <c r="D70" s="41"/>
      <c r="E70" s="42">
        <f t="shared" si="0"/>
        <v>0</v>
      </c>
      <c r="F70" s="36">
        <f>Evaluation!N67</f>
        <v>0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40">
        <v>61</v>
      </c>
      <c r="B71" s="8">
        <f>'Course Information'!B84</f>
        <v>0</v>
      </c>
      <c r="C71" s="8">
        <f>'Course Information'!D84</f>
        <v>0</v>
      </c>
      <c r="D71" s="41"/>
      <c r="E71" s="42">
        <f t="shared" si="0"/>
        <v>0</v>
      </c>
      <c r="F71" s="36">
        <f>Evaluation!N68</f>
        <v>0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40">
        <v>62</v>
      </c>
      <c r="B72" s="8">
        <f>'Course Information'!B85</f>
        <v>0</v>
      </c>
      <c r="C72" s="8">
        <f>'Course Information'!D85</f>
        <v>0</v>
      </c>
      <c r="D72" s="41"/>
      <c r="E72" s="42">
        <f t="shared" si="0"/>
        <v>0</v>
      </c>
      <c r="F72" s="36">
        <f>Evaluation!N69</f>
        <v>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40">
        <v>63</v>
      </c>
      <c r="B73" s="8">
        <f>'Course Information'!B86</f>
        <v>0</v>
      </c>
      <c r="C73" s="8">
        <f>'Course Information'!D86</f>
        <v>0</v>
      </c>
      <c r="D73" s="41"/>
      <c r="E73" s="42">
        <f t="shared" si="0"/>
        <v>0</v>
      </c>
      <c r="F73" s="36">
        <f>Evaluation!N70</f>
        <v>0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40">
        <v>64</v>
      </c>
      <c r="B74" s="8">
        <f>'Course Information'!B87</f>
        <v>0</v>
      </c>
      <c r="C74" s="8">
        <f>'Course Information'!D87</f>
        <v>0</v>
      </c>
      <c r="D74" s="41"/>
      <c r="E74" s="42">
        <f t="shared" si="0"/>
        <v>0</v>
      </c>
      <c r="F74" s="36">
        <f>Evaluation!N71</f>
        <v>0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40">
        <v>65</v>
      </c>
      <c r="B75" s="8">
        <f>'Course Information'!B88</f>
        <v>0</v>
      </c>
      <c r="C75" s="8">
        <f>'Course Information'!D88</f>
        <v>0</v>
      </c>
      <c r="D75" s="41"/>
      <c r="E75" s="42">
        <f t="shared" si="0"/>
        <v>0</v>
      </c>
      <c r="F75" s="36">
        <f>Evaluation!N72</f>
        <v>0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40">
        <v>66</v>
      </c>
      <c r="B76" s="8">
        <f>'Course Information'!B89</f>
        <v>0</v>
      </c>
      <c r="C76" s="8">
        <f>'Course Information'!D89</f>
        <v>0</v>
      </c>
      <c r="D76" s="41"/>
      <c r="E76" s="42">
        <f t="shared" si="0"/>
        <v>0</v>
      </c>
      <c r="F76" s="36">
        <f>Evaluation!N73</f>
        <v>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195" t="s">
        <v>147</v>
      </c>
      <c r="B77" s="128"/>
      <c r="C77" s="126"/>
      <c r="D77" s="41"/>
      <c r="E77" s="196">
        <f>COUNTA('[1]Student List'!B7:B96)</f>
        <v>90</v>
      </c>
      <c r="F77" s="126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195" t="s">
        <v>148</v>
      </c>
      <c r="B78" s="128"/>
      <c r="C78" s="126"/>
      <c r="D78" s="41"/>
      <c r="E78" s="196">
        <f>COUNTIF(F11:F76,"AB")</f>
        <v>0</v>
      </c>
      <c r="F78" s="126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195" t="s">
        <v>149</v>
      </c>
      <c r="B79" s="128"/>
      <c r="C79" s="126"/>
      <c r="D79" s="41"/>
      <c r="E79" s="196">
        <f>COUNTIF(F11:F76,"&lt;=20")</f>
        <v>66</v>
      </c>
      <c r="F79" s="126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195" t="s">
        <v>150</v>
      </c>
      <c r="B80" s="128"/>
      <c r="C80" s="126"/>
      <c r="D80" s="41"/>
      <c r="E80" s="196">
        <f>COUNTIF(F11:F76,"&lt;=40")-E79</f>
        <v>0</v>
      </c>
      <c r="F80" s="126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195" t="s">
        <v>151</v>
      </c>
      <c r="B81" s="128"/>
      <c r="C81" s="126"/>
      <c r="D81" s="41"/>
      <c r="E81" s="196">
        <f>COUNTIF(F11:F76,"&gt;=41")</f>
        <v>0</v>
      </c>
      <c r="F81" s="126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195" t="s">
        <v>152</v>
      </c>
      <c r="B82" s="128"/>
      <c r="C82" s="126"/>
      <c r="D82" s="41"/>
      <c r="E82" s="197">
        <f>COUNTIF(E11:E76,"&lt;85")</f>
        <v>66</v>
      </c>
      <c r="F82" s="126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198" t="s">
        <v>153</v>
      </c>
      <c r="B86" s="144"/>
      <c r="C86" s="144"/>
      <c r="D86" s="144"/>
      <c r="E86" s="144"/>
      <c r="F86" s="144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2:F2"/>
    <mergeCell ref="A3:F3"/>
    <mergeCell ref="A4:B4"/>
    <mergeCell ref="C4:F4"/>
    <mergeCell ref="D5:F5"/>
    <mergeCell ref="B6:D6"/>
    <mergeCell ref="A7:B7"/>
    <mergeCell ref="C7:F7"/>
    <mergeCell ref="A8:B8"/>
    <mergeCell ref="D8:F8"/>
    <mergeCell ref="A9:A10"/>
    <mergeCell ref="B9:B10"/>
    <mergeCell ref="C9:C10"/>
    <mergeCell ref="A80:C80"/>
    <mergeCell ref="A81:C81"/>
    <mergeCell ref="A82:C82"/>
    <mergeCell ref="E81:F81"/>
    <mergeCell ref="E82:F82"/>
    <mergeCell ref="A86:F86"/>
    <mergeCell ref="A77:C77"/>
    <mergeCell ref="E77:F77"/>
    <mergeCell ref="A78:C78"/>
    <mergeCell ref="E78:F78"/>
    <mergeCell ref="A79:C79"/>
    <mergeCell ref="E79:F79"/>
    <mergeCell ref="E80:F8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2" width="14.42578125" customWidth="1"/>
    <col min="3" max="3" width="24.85546875" customWidth="1"/>
    <col min="4" max="4" width="7.5703125" customWidth="1"/>
    <col min="5" max="6" width="14.42578125" customWidth="1"/>
  </cols>
  <sheetData>
    <row r="1" spans="1:26" ht="16.5">
      <c r="A1" s="203" t="s">
        <v>99</v>
      </c>
      <c r="B1" s="190"/>
      <c r="C1" s="190"/>
      <c r="D1" s="190"/>
      <c r="E1" s="190"/>
      <c r="F1" s="138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s="204" t="s">
        <v>100</v>
      </c>
      <c r="B2" s="145"/>
      <c r="C2" s="145"/>
      <c r="D2" s="145"/>
      <c r="E2" s="145"/>
      <c r="F2" s="142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188" t="str">
        <f>'Course Information'!$N$4</f>
        <v>Information Science &amp; Engg</v>
      </c>
      <c r="B3" s="128"/>
      <c r="C3" s="128"/>
      <c r="D3" s="128"/>
      <c r="E3" s="128"/>
      <c r="F3" s="126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202" t="s">
        <v>101</v>
      </c>
      <c r="B4" s="126"/>
      <c r="C4" s="205" t="str">
        <f>'Course Information'!$F$5</f>
        <v>2026-27</v>
      </c>
      <c r="D4" s="128"/>
      <c r="E4" s="128"/>
      <c r="F4" s="126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3" t="s">
        <v>102</v>
      </c>
      <c r="B5" s="8" t="str">
        <f>'Course Information'!N5</f>
        <v>III</v>
      </c>
      <c r="C5" s="34" t="s">
        <v>104</v>
      </c>
      <c r="D5" s="170" t="str">
        <f>'Course Information'!P5</f>
        <v>A</v>
      </c>
      <c r="E5" s="128"/>
      <c r="F5" s="12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35" t="s">
        <v>105</v>
      </c>
      <c r="B6" s="201" t="str">
        <f>'Course Information'!$F$6</f>
        <v>DATA STRUCTURE AND APPLICATIONS</v>
      </c>
      <c r="C6" s="128"/>
      <c r="D6" s="126"/>
      <c r="E6" s="35" t="s">
        <v>106</v>
      </c>
      <c r="F6" s="36" t="str">
        <f>'Course Information'!$F$7</f>
        <v>1BCS305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202" t="s">
        <v>107</v>
      </c>
      <c r="B7" s="126"/>
      <c r="C7" s="170" t="str">
        <f>'Course Information'!F8</f>
        <v>Thara K L</v>
      </c>
      <c r="D7" s="128"/>
      <c r="E7" s="128"/>
      <c r="F7" s="126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202" t="s">
        <v>108</v>
      </c>
      <c r="B8" s="126"/>
      <c r="C8" s="37"/>
      <c r="D8" s="202" t="s">
        <v>109</v>
      </c>
      <c r="E8" s="128"/>
      <c r="F8" s="126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199" t="s">
        <v>57</v>
      </c>
      <c r="B9" s="200" t="s">
        <v>58</v>
      </c>
      <c r="C9" s="200" t="s">
        <v>110</v>
      </c>
      <c r="D9" s="39" t="s">
        <v>111</v>
      </c>
      <c r="E9" s="38">
        <v>19</v>
      </c>
      <c r="F9" s="37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150"/>
      <c r="B10" s="150"/>
      <c r="C10" s="150"/>
      <c r="D10" s="39" t="s">
        <v>112</v>
      </c>
      <c r="E10" s="38" t="s">
        <v>113</v>
      </c>
      <c r="F10" s="38" t="s">
        <v>109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40">
        <v>1</v>
      </c>
      <c r="B11" s="8">
        <f>'Course Information'!B24</f>
        <v>0</v>
      </c>
      <c r="C11" s="8">
        <f>'Course Information'!D24</f>
        <v>0</v>
      </c>
      <c r="D11" s="41"/>
      <c r="E11" s="42">
        <f t="shared" ref="E11:E76" si="0">IFERROR(ROUNDUP((D11/$E$9)*100,0),"")</f>
        <v>0</v>
      </c>
      <c r="F11" s="36">
        <f>Evaluation!AF8</f>
        <v>0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40">
        <v>2</v>
      </c>
      <c r="B12" s="8">
        <f>'Course Information'!B25</f>
        <v>0</v>
      </c>
      <c r="C12" s="8">
        <f>'Course Information'!D25</f>
        <v>0</v>
      </c>
      <c r="D12" s="41"/>
      <c r="E12" s="42">
        <f t="shared" si="0"/>
        <v>0</v>
      </c>
      <c r="F12" s="36">
        <f>Evaluation!AF9</f>
        <v>0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40">
        <v>3</v>
      </c>
      <c r="B13" s="8">
        <f>'Course Information'!B26</f>
        <v>0</v>
      </c>
      <c r="C13" s="8">
        <f>'Course Information'!D26</f>
        <v>0</v>
      </c>
      <c r="D13" s="41"/>
      <c r="E13" s="42">
        <f t="shared" si="0"/>
        <v>0</v>
      </c>
      <c r="F13" s="36">
        <f>Evaluation!AF10</f>
        <v>0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40">
        <v>4</v>
      </c>
      <c r="B14" s="8">
        <f>'Course Information'!B27</f>
        <v>0</v>
      </c>
      <c r="C14" s="8">
        <f>'Course Information'!D27</f>
        <v>0</v>
      </c>
      <c r="D14" s="41"/>
      <c r="E14" s="42">
        <f t="shared" si="0"/>
        <v>0</v>
      </c>
      <c r="F14" s="36">
        <f>Evaluation!AF11</f>
        <v>0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40">
        <v>5</v>
      </c>
      <c r="B15" s="8">
        <f>'Course Information'!B28</f>
        <v>0</v>
      </c>
      <c r="C15" s="8">
        <f>'Course Information'!D28</f>
        <v>0</v>
      </c>
      <c r="D15" s="41"/>
      <c r="E15" s="42">
        <f t="shared" si="0"/>
        <v>0</v>
      </c>
      <c r="F15" s="36">
        <f>Evaluation!AF12</f>
        <v>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40">
        <v>6</v>
      </c>
      <c r="B16" s="8">
        <f>'Course Information'!B29</f>
        <v>0</v>
      </c>
      <c r="C16" s="8">
        <f>'Course Information'!D29</f>
        <v>0</v>
      </c>
      <c r="D16" s="41"/>
      <c r="E16" s="42">
        <f t="shared" si="0"/>
        <v>0</v>
      </c>
      <c r="F16" s="36">
        <f>Evaluation!AF13</f>
        <v>0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40">
        <v>7</v>
      </c>
      <c r="B17" s="8">
        <f>'Course Information'!B30</f>
        <v>0</v>
      </c>
      <c r="C17" s="8">
        <f>'Course Information'!D30</f>
        <v>0</v>
      </c>
      <c r="D17" s="41"/>
      <c r="E17" s="42">
        <f t="shared" si="0"/>
        <v>0</v>
      </c>
      <c r="F17" s="36">
        <f>Evaluation!AF14</f>
        <v>0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40">
        <v>8</v>
      </c>
      <c r="B18" s="8">
        <f>'Course Information'!B31</f>
        <v>0</v>
      </c>
      <c r="C18" s="8">
        <f>'Course Information'!D31</f>
        <v>0</v>
      </c>
      <c r="D18" s="41"/>
      <c r="E18" s="42">
        <f t="shared" si="0"/>
        <v>0</v>
      </c>
      <c r="F18" s="36">
        <f>Evaluation!AF15</f>
        <v>0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40">
        <v>9</v>
      </c>
      <c r="B19" s="8">
        <f>'Course Information'!B32</f>
        <v>0</v>
      </c>
      <c r="C19" s="8">
        <f>'Course Information'!D32</f>
        <v>0</v>
      </c>
      <c r="D19" s="41"/>
      <c r="E19" s="42">
        <f t="shared" si="0"/>
        <v>0</v>
      </c>
      <c r="F19" s="36">
        <f>Evaluation!AF16</f>
        <v>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40">
        <v>10</v>
      </c>
      <c r="B20" s="8">
        <f>'Course Information'!B33</f>
        <v>0</v>
      </c>
      <c r="C20" s="8">
        <f>'Course Information'!D33</f>
        <v>0</v>
      </c>
      <c r="D20" s="41"/>
      <c r="E20" s="42">
        <f t="shared" si="0"/>
        <v>0</v>
      </c>
      <c r="F20" s="36">
        <f>Evaluation!AF17</f>
        <v>0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40">
        <v>11</v>
      </c>
      <c r="B21" s="8">
        <f>'Course Information'!B34</f>
        <v>0</v>
      </c>
      <c r="C21" s="8">
        <f>'Course Information'!D34</f>
        <v>0</v>
      </c>
      <c r="D21" s="41"/>
      <c r="E21" s="42">
        <f t="shared" si="0"/>
        <v>0</v>
      </c>
      <c r="F21" s="36">
        <f>Evaluation!AF18</f>
        <v>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40">
        <v>12</v>
      </c>
      <c r="B22" s="8">
        <f>'Course Information'!B35</f>
        <v>0</v>
      </c>
      <c r="C22" s="8">
        <f>'Course Information'!D35</f>
        <v>0</v>
      </c>
      <c r="D22" s="41"/>
      <c r="E22" s="42">
        <f t="shared" si="0"/>
        <v>0</v>
      </c>
      <c r="F22" s="36">
        <f>Evaluation!AF19</f>
        <v>0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40">
        <v>13</v>
      </c>
      <c r="B23" s="8">
        <f>'Course Information'!B36</f>
        <v>0</v>
      </c>
      <c r="C23" s="8">
        <f>'Course Information'!D36</f>
        <v>0</v>
      </c>
      <c r="D23" s="41"/>
      <c r="E23" s="42">
        <f t="shared" si="0"/>
        <v>0</v>
      </c>
      <c r="F23" s="36">
        <f>Evaluation!AF20</f>
        <v>0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40">
        <v>14</v>
      </c>
      <c r="B24" s="8">
        <f>'Course Information'!B37</f>
        <v>0</v>
      </c>
      <c r="C24" s="8">
        <f>'Course Information'!D37</f>
        <v>0</v>
      </c>
      <c r="D24" s="41"/>
      <c r="E24" s="42">
        <f t="shared" si="0"/>
        <v>0</v>
      </c>
      <c r="F24" s="36">
        <f>Evaluation!AF21</f>
        <v>0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40">
        <v>15</v>
      </c>
      <c r="B25" s="8">
        <f>'Course Information'!B38</f>
        <v>0</v>
      </c>
      <c r="C25" s="8">
        <f>'Course Information'!D38</f>
        <v>0</v>
      </c>
      <c r="D25" s="41"/>
      <c r="E25" s="42">
        <f t="shared" si="0"/>
        <v>0</v>
      </c>
      <c r="F25" s="36">
        <f>Evaluation!AF22</f>
        <v>0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40">
        <v>16</v>
      </c>
      <c r="B26" s="8">
        <f>'Course Information'!B39</f>
        <v>0</v>
      </c>
      <c r="C26" s="8">
        <f>'Course Information'!D39</f>
        <v>0</v>
      </c>
      <c r="D26" s="41"/>
      <c r="E26" s="42">
        <f t="shared" si="0"/>
        <v>0</v>
      </c>
      <c r="F26" s="36">
        <f>Evaluation!AF23</f>
        <v>0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40">
        <v>17</v>
      </c>
      <c r="B27" s="8">
        <f>'Course Information'!B40</f>
        <v>0</v>
      </c>
      <c r="C27" s="8">
        <f>'Course Information'!D40</f>
        <v>0</v>
      </c>
      <c r="D27" s="41"/>
      <c r="E27" s="42">
        <f t="shared" si="0"/>
        <v>0</v>
      </c>
      <c r="F27" s="36">
        <f>Evaluation!AF24</f>
        <v>0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40">
        <v>18</v>
      </c>
      <c r="B28" s="8">
        <f>'Course Information'!B41</f>
        <v>0</v>
      </c>
      <c r="C28" s="8">
        <f>'Course Information'!D41</f>
        <v>0</v>
      </c>
      <c r="D28" s="41"/>
      <c r="E28" s="42">
        <f t="shared" si="0"/>
        <v>0</v>
      </c>
      <c r="F28" s="36">
        <f>Evaluation!AF25</f>
        <v>0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>
      <c r="A29" s="40">
        <v>19</v>
      </c>
      <c r="B29" s="8">
        <f>'Course Information'!B42</f>
        <v>0</v>
      </c>
      <c r="C29" s="8">
        <f>'Course Information'!D42</f>
        <v>0</v>
      </c>
      <c r="D29" s="41"/>
      <c r="E29" s="42">
        <f t="shared" si="0"/>
        <v>0</v>
      </c>
      <c r="F29" s="36">
        <f>Evaluation!AF26</f>
        <v>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>
      <c r="A30" s="40">
        <v>20</v>
      </c>
      <c r="B30" s="8">
        <f>'Course Information'!B43</f>
        <v>0</v>
      </c>
      <c r="C30" s="8">
        <f>'Course Information'!D43</f>
        <v>0</v>
      </c>
      <c r="D30" s="41"/>
      <c r="E30" s="42">
        <f t="shared" si="0"/>
        <v>0</v>
      </c>
      <c r="F30" s="36">
        <f>Evaluation!AF27</f>
        <v>0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>
      <c r="A31" s="40">
        <v>21</v>
      </c>
      <c r="B31" s="8">
        <f>'Course Information'!B44</f>
        <v>0</v>
      </c>
      <c r="C31" s="8">
        <f>'Course Information'!D44</f>
        <v>0</v>
      </c>
      <c r="D31" s="41"/>
      <c r="E31" s="42">
        <f t="shared" si="0"/>
        <v>0</v>
      </c>
      <c r="F31" s="36">
        <f>Evaluation!AF28</f>
        <v>0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>
      <c r="A32" s="40">
        <v>22</v>
      </c>
      <c r="B32" s="8">
        <f>'Course Information'!B45</f>
        <v>0</v>
      </c>
      <c r="C32" s="8">
        <f>'Course Information'!D45</f>
        <v>0</v>
      </c>
      <c r="D32" s="41"/>
      <c r="E32" s="42">
        <f t="shared" si="0"/>
        <v>0</v>
      </c>
      <c r="F32" s="36">
        <f>Evaluation!AF29</f>
        <v>0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>
      <c r="A33" s="40">
        <v>23</v>
      </c>
      <c r="B33" s="8">
        <f>'Course Information'!B46</f>
        <v>0</v>
      </c>
      <c r="C33" s="8">
        <f>'Course Information'!D46</f>
        <v>0</v>
      </c>
      <c r="D33" s="41"/>
      <c r="E33" s="42">
        <f t="shared" si="0"/>
        <v>0</v>
      </c>
      <c r="F33" s="36">
        <f>Evaluation!AF30</f>
        <v>0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>
      <c r="A34" s="40">
        <v>24</v>
      </c>
      <c r="B34" s="8">
        <f>'Course Information'!B47</f>
        <v>0</v>
      </c>
      <c r="C34" s="8">
        <f>'Course Information'!D47</f>
        <v>0</v>
      </c>
      <c r="D34" s="41"/>
      <c r="E34" s="42">
        <f t="shared" si="0"/>
        <v>0</v>
      </c>
      <c r="F34" s="36">
        <f>Evaluation!AF31</f>
        <v>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>
      <c r="A35" s="40">
        <v>25</v>
      </c>
      <c r="B35" s="8">
        <f>'Course Information'!B48</f>
        <v>0</v>
      </c>
      <c r="C35" s="8">
        <f>'Course Information'!D48</f>
        <v>0</v>
      </c>
      <c r="D35" s="41"/>
      <c r="E35" s="42">
        <f t="shared" si="0"/>
        <v>0</v>
      </c>
      <c r="F35" s="36">
        <f>Evaluation!AF32</f>
        <v>0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>
      <c r="A36" s="40">
        <v>26</v>
      </c>
      <c r="B36" s="8">
        <f>'Course Information'!B49</f>
        <v>0</v>
      </c>
      <c r="C36" s="8">
        <f>'Course Information'!D49</f>
        <v>0</v>
      </c>
      <c r="D36" s="41"/>
      <c r="E36" s="42">
        <f t="shared" si="0"/>
        <v>0</v>
      </c>
      <c r="F36" s="36">
        <f>Evaluation!AF33</f>
        <v>0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>
      <c r="A37" s="40">
        <v>27</v>
      </c>
      <c r="B37" s="8">
        <f>'Course Information'!B50</f>
        <v>0</v>
      </c>
      <c r="C37" s="8">
        <f>'Course Information'!D50</f>
        <v>0</v>
      </c>
      <c r="D37" s="41"/>
      <c r="E37" s="42">
        <f t="shared" si="0"/>
        <v>0</v>
      </c>
      <c r="F37" s="36">
        <f>Evaluation!AF34</f>
        <v>0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>
      <c r="A38" s="40">
        <v>28</v>
      </c>
      <c r="B38" s="8">
        <f>'Course Information'!B51</f>
        <v>0</v>
      </c>
      <c r="C38" s="8">
        <f>'Course Information'!D51</f>
        <v>0</v>
      </c>
      <c r="D38" s="41"/>
      <c r="E38" s="42">
        <f t="shared" si="0"/>
        <v>0</v>
      </c>
      <c r="F38" s="36">
        <f>Evaluation!AF35</f>
        <v>0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>
      <c r="A39" s="40">
        <v>29</v>
      </c>
      <c r="B39" s="8">
        <f>'Course Information'!B52</f>
        <v>0</v>
      </c>
      <c r="C39" s="8">
        <f>'Course Information'!D52</f>
        <v>0</v>
      </c>
      <c r="D39" s="41"/>
      <c r="E39" s="42">
        <f t="shared" si="0"/>
        <v>0</v>
      </c>
      <c r="F39" s="36">
        <f>Evaluation!AF36</f>
        <v>0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>
      <c r="A40" s="40">
        <v>30</v>
      </c>
      <c r="B40" s="8">
        <f>'Course Information'!B53</f>
        <v>0</v>
      </c>
      <c r="C40" s="8">
        <f>'Course Information'!D53</f>
        <v>0</v>
      </c>
      <c r="D40" s="41"/>
      <c r="E40" s="42">
        <f t="shared" si="0"/>
        <v>0</v>
      </c>
      <c r="F40" s="36">
        <f>Evaluation!AF37</f>
        <v>0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>
      <c r="A41" s="40">
        <v>31</v>
      </c>
      <c r="B41" s="8">
        <f>'Course Information'!B54</f>
        <v>0</v>
      </c>
      <c r="C41" s="8">
        <f>'Course Information'!D54</f>
        <v>0</v>
      </c>
      <c r="D41" s="41"/>
      <c r="E41" s="42">
        <f t="shared" si="0"/>
        <v>0</v>
      </c>
      <c r="F41" s="36">
        <f>Evaluation!AF38</f>
        <v>0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>
      <c r="A42" s="40">
        <v>32</v>
      </c>
      <c r="B42" s="8">
        <f>'Course Information'!B55</f>
        <v>0</v>
      </c>
      <c r="C42" s="8">
        <f>'Course Information'!D55</f>
        <v>0</v>
      </c>
      <c r="D42" s="41"/>
      <c r="E42" s="42">
        <f t="shared" si="0"/>
        <v>0</v>
      </c>
      <c r="F42" s="36">
        <f>Evaluation!AF39</f>
        <v>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>
      <c r="A43" s="40">
        <v>33</v>
      </c>
      <c r="B43" s="8">
        <f>'Course Information'!B56</f>
        <v>0</v>
      </c>
      <c r="C43" s="8">
        <f>'Course Information'!D56</f>
        <v>0</v>
      </c>
      <c r="D43" s="41"/>
      <c r="E43" s="42">
        <f t="shared" si="0"/>
        <v>0</v>
      </c>
      <c r="F43" s="36">
        <f>Evaluation!AF40</f>
        <v>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40">
        <v>34</v>
      </c>
      <c r="B44" s="8">
        <f>'Course Information'!B57</f>
        <v>0</v>
      </c>
      <c r="C44" s="8">
        <f>'Course Information'!D57</f>
        <v>0</v>
      </c>
      <c r="D44" s="41"/>
      <c r="E44" s="42">
        <f t="shared" si="0"/>
        <v>0</v>
      </c>
      <c r="F44" s="36">
        <f>Evaluation!AF41</f>
        <v>0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40">
        <v>35</v>
      </c>
      <c r="B45" s="8">
        <f>'Course Information'!B58</f>
        <v>0</v>
      </c>
      <c r="C45" s="8">
        <f>'Course Information'!D58</f>
        <v>0</v>
      </c>
      <c r="D45" s="41"/>
      <c r="E45" s="42">
        <f t="shared" si="0"/>
        <v>0</v>
      </c>
      <c r="F45" s="36">
        <f>Evaluation!AF42</f>
        <v>0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>
      <c r="A46" s="40">
        <v>36</v>
      </c>
      <c r="B46" s="8">
        <f>'Course Information'!B59</f>
        <v>0</v>
      </c>
      <c r="C46" s="8">
        <f>'Course Information'!D59</f>
        <v>0</v>
      </c>
      <c r="D46" s="41"/>
      <c r="E46" s="42">
        <f t="shared" si="0"/>
        <v>0</v>
      </c>
      <c r="F46" s="36">
        <f>Evaluation!AF43</f>
        <v>0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>
      <c r="A47" s="40">
        <v>37</v>
      </c>
      <c r="B47" s="8">
        <f>'Course Information'!B60</f>
        <v>0</v>
      </c>
      <c r="C47" s="8">
        <f>'Course Information'!D60</f>
        <v>0</v>
      </c>
      <c r="D47" s="41"/>
      <c r="E47" s="42">
        <f t="shared" si="0"/>
        <v>0</v>
      </c>
      <c r="F47" s="36">
        <f>Evaluation!AF44</f>
        <v>0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>
      <c r="A48" s="40">
        <v>38</v>
      </c>
      <c r="B48" s="8">
        <f>'Course Information'!B61</f>
        <v>0</v>
      </c>
      <c r="C48" s="8">
        <f>'Course Information'!D61</f>
        <v>0</v>
      </c>
      <c r="D48" s="41"/>
      <c r="E48" s="42">
        <f t="shared" si="0"/>
        <v>0</v>
      </c>
      <c r="F48" s="36">
        <f>Evaluation!AF45</f>
        <v>0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>
      <c r="A49" s="40">
        <v>39</v>
      </c>
      <c r="B49" s="8">
        <f>'Course Information'!B62</f>
        <v>0</v>
      </c>
      <c r="C49" s="8">
        <f>'Course Information'!D62</f>
        <v>0</v>
      </c>
      <c r="D49" s="41"/>
      <c r="E49" s="42">
        <f t="shared" si="0"/>
        <v>0</v>
      </c>
      <c r="F49" s="36">
        <f>Evaluation!AF46</f>
        <v>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40">
        <v>40</v>
      </c>
      <c r="B50" s="8">
        <f>'Course Information'!B63</f>
        <v>0</v>
      </c>
      <c r="C50" s="8">
        <f>'Course Information'!D63</f>
        <v>0</v>
      </c>
      <c r="D50" s="41"/>
      <c r="E50" s="42">
        <f t="shared" si="0"/>
        <v>0</v>
      </c>
      <c r="F50" s="36">
        <f>Evaluation!AF47</f>
        <v>0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>
      <c r="A51" s="40">
        <v>41</v>
      </c>
      <c r="B51" s="8">
        <f>'Course Information'!B64</f>
        <v>0</v>
      </c>
      <c r="C51" s="8">
        <f>'Course Information'!D64</f>
        <v>0</v>
      </c>
      <c r="D51" s="41"/>
      <c r="E51" s="42">
        <f t="shared" si="0"/>
        <v>0</v>
      </c>
      <c r="F51" s="36">
        <f>Evaluation!AF48</f>
        <v>0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40">
        <v>42</v>
      </c>
      <c r="B52" s="8">
        <f>'Course Information'!B65</f>
        <v>0</v>
      </c>
      <c r="C52" s="8">
        <f>'Course Information'!D65</f>
        <v>0</v>
      </c>
      <c r="D52" s="41"/>
      <c r="E52" s="42">
        <f t="shared" si="0"/>
        <v>0</v>
      </c>
      <c r="F52" s="36">
        <f>Evaluation!AF49</f>
        <v>0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40">
        <v>43</v>
      </c>
      <c r="B53" s="8">
        <f>'Course Information'!B66</f>
        <v>0</v>
      </c>
      <c r="C53" s="8">
        <f>'Course Information'!D66</f>
        <v>0</v>
      </c>
      <c r="D53" s="41"/>
      <c r="E53" s="42">
        <f t="shared" si="0"/>
        <v>0</v>
      </c>
      <c r="F53" s="36">
        <f>Evaluation!AF50</f>
        <v>0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40">
        <v>44</v>
      </c>
      <c r="B54" s="8">
        <f>'Course Information'!B67</f>
        <v>0</v>
      </c>
      <c r="C54" s="8">
        <f>'Course Information'!D67</f>
        <v>0</v>
      </c>
      <c r="D54" s="41"/>
      <c r="E54" s="42">
        <f t="shared" si="0"/>
        <v>0</v>
      </c>
      <c r="F54" s="36">
        <f>Evaluation!AF51</f>
        <v>0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40">
        <v>45</v>
      </c>
      <c r="B55" s="8">
        <f>'Course Information'!B68</f>
        <v>0</v>
      </c>
      <c r="C55" s="8">
        <f>'Course Information'!D68</f>
        <v>0</v>
      </c>
      <c r="D55" s="41"/>
      <c r="E55" s="42">
        <f t="shared" si="0"/>
        <v>0</v>
      </c>
      <c r="F55" s="36">
        <f>Evaluation!AF52</f>
        <v>0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40">
        <v>46</v>
      </c>
      <c r="B56" s="8">
        <f>'Course Information'!B69</f>
        <v>0</v>
      </c>
      <c r="C56" s="8">
        <f>'Course Information'!D69</f>
        <v>0</v>
      </c>
      <c r="D56" s="41"/>
      <c r="E56" s="42">
        <f t="shared" si="0"/>
        <v>0</v>
      </c>
      <c r="F56" s="36">
        <f>Evaluation!AF53</f>
        <v>0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40">
        <v>47</v>
      </c>
      <c r="B57" s="8">
        <f>'Course Information'!B70</f>
        <v>0</v>
      </c>
      <c r="C57" s="8">
        <f>'Course Information'!D70</f>
        <v>0</v>
      </c>
      <c r="D57" s="41"/>
      <c r="E57" s="42">
        <f t="shared" si="0"/>
        <v>0</v>
      </c>
      <c r="F57" s="36">
        <f>Evaluation!AF54</f>
        <v>0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40">
        <v>48</v>
      </c>
      <c r="B58" s="8">
        <f>'Course Information'!B71</f>
        <v>0</v>
      </c>
      <c r="C58" s="8">
        <f>'Course Information'!D71</f>
        <v>0</v>
      </c>
      <c r="D58" s="41"/>
      <c r="E58" s="42">
        <f t="shared" si="0"/>
        <v>0</v>
      </c>
      <c r="F58" s="36">
        <f>Evaluation!AF55</f>
        <v>0</v>
      </c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40">
        <v>49</v>
      </c>
      <c r="B59" s="8">
        <f>'Course Information'!B72</f>
        <v>0</v>
      </c>
      <c r="C59" s="8">
        <f>'Course Information'!D72</f>
        <v>0</v>
      </c>
      <c r="D59" s="41"/>
      <c r="E59" s="42">
        <f t="shared" si="0"/>
        <v>0</v>
      </c>
      <c r="F59" s="36">
        <f>Evaluation!AF56</f>
        <v>0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40">
        <v>50</v>
      </c>
      <c r="B60" s="8">
        <f>'Course Information'!B73</f>
        <v>0</v>
      </c>
      <c r="C60" s="8">
        <f>'Course Information'!D73</f>
        <v>0</v>
      </c>
      <c r="D60" s="41"/>
      <c r="E60" s="42">
        <f t="shared" si="0"/>
        <v>0</v>
      </c>
      <c r="F60" s="36">
        <f>Evaluation!AF57</f>
        <v>0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40">
        <v>51</v>
      </c>
      <c r="B61" s="8">
        <f>'Course Information'!B74</f>
        <v>0</v>
      </c>
      <c r="C61" s="8">
        <f>'Course Information'!D74</f>
        <v>0</v>
      </c>
      <c r="D61" s="41"/>
      <c r="E61" s="42">
        <f t="shared" si="0"/>
        <v>0</v>
      </c>
      <c r="F61" s="36">
        <f>Evaluation!AF58</f>
        <v>0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40">
        <v>52</v>
      </c>
      <c r="B62" s="8">
        <f>'Course Information'!B75</f>
        <v>0</v>
      </c>
      <c r="C62" s="8">
        <f>'Course Information'!D75</f>
        <v>0</v>
      </c>
      <c r="D62" s="41"/>
      <c r="E62" s="42">
        <f t="shared" si="0"/>
        <v>0</v>
      </c>
      <c r="F62" s="36">
        <f>Evaluation!AF59</f>
        <v>0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40">
        <v>53</v>
      </c>
      <c r="B63" s="8">
        <f>'Course Information'!B76</f>
        <v>0</v>
      </c>
      <c r="C63" s="8">
        <f>'Course Information'!D76</f>
        <v>0</v>
      </c>
      <c r="D63" s="41"/>
      <c r="E63" s="42">
        <f t="shared" si="0"/>
        <v>0</v>
      </c>
      <c r="F63" s="36">
        <f>Evaluation!AF60</f>
        <v>0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40">
        <v>54</v>
      </c>
      <c r="B64" s="8">
        <f>'Course Information'!B77</f>
        <v>0</v>
      </c>
      <c r="C64" s="8">
        <f>'Course Information'!D77</f>
        <v>0</v>
      </c>
      <c r="D64" s="41"/>
      <c r="E64" s="42">
        <f t="shared" si="0"/>
        <v>0</v>
      </c>
      <c r="F64" s="36">
        <f>Evaluation!AF61</f>
        <v>0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40">
        <v>55</v>
      </c>
      <c r="B65" s="8">
        <f>'Course Information'!B78</f>
        <v>0</v>
      </c>
      <c r="C65" s="8">
        <f>'Course Information'!D78</f>
        <v>0</v>
      </c>
      <c r="D65" s="41"/>
      <c r="E65" s="42">
        <f t="shared" si="0"/>
        <v>0</v>
      </c>
      <c r="F65" s="36">
        <f>Evaluation!AF62</f>
        <v>0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40">
        <v>56</v>
      </c>
      <c r="B66" s="8">
        <f>'Course Information'!B79</f>
        <v>0</v>
      </c>
      <c r="C66" s="8">
        <f>'Course Information'!D79</f>
        <v>0</v>
      </c>
      <c r="D66" s="41"/>
      <c r="E66" s="42">
        <f t="shared" si="0"/>
        <v>0</v>
      </c>
      <c r="F66" s="36">
        <f>Evaluation!AF63</f>
        <v>0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40">
        <v>57</v>
      </c>
      <c r="B67" s="8">
        <f>'Course Information'!B80</f>
        <v>0</v>
      </c>
      <c r="C67" s="8">
        <f>'Course Information'!D80</f>
        <v>0</v>
      </c>
      <c r="D67" s="41"/>
      <c r="E67" s="42">
        <f t="shared" si="0"/>
        <v>0</v>
      </c>
      <c r="F67" s="36">
        <f>Evaluation!AF64</f>
        <v>0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40">
        <v>58</v>
      </c>
      <c r="B68" s="8">
        <f>'Course Information'!B81</f>
        <v>0</v>
      </c>
      <c r="C68" s="8">
        <f>'Course Information'!D81</f>
        <v>0</v>
      </c>
      <c r="D68" s="41"/>
      <c r="E68" s="42">
        <f t="shared" si="0"/>
        <v>0</v>
      </c>
      <c r="F68" s="36">
        <f>Evaluation!AF65</f>
        <v>0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40">
        <v>59</v>
      </c>
      <c r="B69" s="8">
        <f>'Course Information'!B82</f>
        <v>0</v>
      </c>
      <c r="C69" s="8">
        <f>'Course Information'!D82</f>
        <v>0</v>
      </c>
      <c r="D69" s="41"/>
      <c r="E69" s="42">
        <f t="shared" si="0"/>
        <v>0</v>
      </c>
      <c r="F69" s="36">
        <f>Evaluation!AF66</f>
        <v>0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40">
        <v>60</v>
      </c>
      <c r="B70" s="8">
        <f>'Course Information'!B83</f>
        <v>0</v>
      </c>
      <c r="C70" s="8">
        <f>'Course Information'!D83</f>
        <v>0</v>
      </c>
      <c r="D70" s="41"/>
      <c r="E70" s="42">
        <f t="shared" si="0"/>
        <v>0</v>
      </c>
      <c r="F70" s="36">
        <f>Evaluation!AF67</f>
        <v>0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40">
        <v>61</v>
      </c>
      <c r="B71" s="8">
        <f>'Course Information'!B84</f>
        <v>0</v>
      </c>
      <c r="C71" s="8">
        <f>'Course Information'!D84</f>
        <v>0</v>
      </c>
      <c r="D71" s="41"/>
      <c r="E71" s="42">
        <f t="shared" si="0"/>
        <v>0</v>
      </c>
      <c r="F71" s="36">
        <f>Evaluation!AF68</f>
        <v>0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40">
        <v>62</v>
      </c>
      <c r="B72" s="8">
        <f>'Course Information'!B85</f>
        <v>0</v>
      </c>
      <c r="C72" s="8">
        <f>'Course Information'!D85</f>
        <v>0</v>
      </c>
      <c r="D72" s="41"/>
      <c r="E72" s="42">
        <f t="shared" si="0"/>
        <v>0</v>
      </c>
      <c r="F72" s="36">
        <f>Evaluation!AF69</f>
        <v>0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40">
        <v>63</v>
      </c>
      <c r="B73" s="8">
        <f>'Course Information'!B86</f>
        <v>0</v>
      </c>
      <c r="C73" s="8">
        <f>'Course Information'!D86</f>
        <v>0</v>
      </c>
      <c r="D73" s="41"/>
      <c r="E73" s="42">
        <f t="shared" si="0"/>
        <v>0</v>
      </c>
      <c r="F73" s="36">
        <f>Evaluation!AF70</f>
        <v>0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40">
        <v>64</v>
      </c>
      <c r="B74" s="8">
        <f>'Course Information'!B87</f>
        <v>0</v>
      </c>
      <c r="C74" s="8">
        <f>'Course Information'!D87</f>
        <v>0</v>
      </c>
      <c r="D74" s="41"/>
      <c r="E74" s="42">
        <f t="shared" si="0"/>
        <v>0</v>
      </c>
      <c r="F74" s="36">
        <f>Evaluation!AF71</f>
        <v>0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40">
        <v>65</v>
      </c>
      <c r="B75" s="8">
        <f>'Course Information'!B88</f>
        <v>0</v>
      </c>
      <c r="C75" s="8">
        <f>'Course Information'!D88</f>
        <v>0</v>
      </c>
      <c r="D75" s="41"/>
      <c r="E75" s="42">
        <f t="shared" si="0"/>
        <v>0</v>
      </c>
      <c r="F75" s="36">
        <f>Evaluation!AF72</f>
        <v>0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40">
        <v>66</v>
      </c>
      <c r="B76" s="8">
        <f>'Course Information'!B89</f>
        <v>0</v>
      </c>
      <c r="C76" s="8">
        <f>'Course Information'!D89</f>
        <v>0</v>
      </c>
      <c r="D76" s="41"/>
      <c r="E76" s="42">
        <f t="shared" si="0"/>
        <v>0</v>
      </c>
      <c r="F76" s="36">
        <f>Evaluation!AF73</f>
        <v>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195" t="s">
        <v>147</v>
      </c>
      <c r="B77" s="128"/>
      <c r="C77" s="126"/>
      <c r="D77" s="41"/>
      <c r="E77" s="196">
        <f>COUNTA('[1]Student List'!B7:B96)</f>
        <v>90</v>
      </c>
      <c r="F77" s="126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195" t="s">
        <v>148</v>
      </c>
      <c r="B78" s="128"/>
      <c r="C78" s="126"/>
      <c r="D78" s="41"/>
      <c r="E78" s="196">
        <f>COUNTIF(F11:F76,"AB")</f>
        <v>0</v>
      </c>
      <c r="F78" s="126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195" t="s">
        <v>149</v>
      </c>
      <c r="B79" s="128"/>
      <c r="C79" s="126"/>
      <c r="D79" s="41"/>
      <c r="E79" s="196">
        <f>COUNTIF(F11:F76,"&lt;=20")</f>
        <v>66</v>
      </c>
      <c r="F79" s="126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195" t="s">
        <v>150</v>
      </c>
      <c r="B80" s="128"/>
      <c r="C80" s="126"/>
      <c r="D80" s="41"/>
      <c r="E80" s="196">
        <f>COUNTIF(F11:F76,"&lt;=40")-E79</f>
        <v>0</v>
      </c>
      <c r="F80" s="126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195" t="s">
        <v>151</v>
      </c>
      <c r="B81" s="128"/>
      <c r="C81" s="126"/>
      <c r="D81" s="41"/>
      <c r="E81" s="196">
        <f>COUNTIF(F11:F76,"&gt;=41")</f>
        <v>0</v>
      </c>
      <c r="F81" s="126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195" t="s">
        <v>152</v>
      </c>
      <c r="B82" s="128"/>
      <c r="C82" s="126"/>
      <c r="D82" s="41"/>
      <c r="E82" s="197">
        <f>COUNTIF(E11:E76,"&lt;85")</f>
        <v>66</v>
      </c>
      <c r="F82" s="126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198" t="s">
        <v>153</v>
      </c>
      <c r="B86" s="144"/>
      <c r="C86" s="144"/>
      <c r="D86" s="144"/>
      <c r="E86" s="144"/>
      <c r="F86" s="144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2:F2"/>
    <mergeCell ref="A3:F3"/>
    <mergeCell ref="A4:B4"/>
    <mergeCell ref="C4:F4"/>
    <mergeCell ref="D5:F5"/>
    <mergeCell ref="B6:D6"/>
    <mergeCell ref="A7:B7"/>
    <mergeCell ref="C7:F7"/>
    <mergeCell ref="A8:B8"/>
    <mergeCell ref="D8:F8"/>
    <mergeCell ref="A9:A10"/>
    <mergeCell ref="B9:B10"/>
    <mergeCell ref="C9:C10"/>
    <mergeCell ref="A80:C80"/>
    <mergeCell ref="A81:C81"/>
    <mergeCell ref="A82:C82"/>
    <mergeCell ref="E81:F81"/>
    <mergeCell ref="E82:F82"/>
    <mergeCell ref="A86:F86"/>
    <mergeCell ref="A77:C77"/>
    <mergeCell ref="E77:F77"/>
    <mergeCell ref="A78:C78"/>
    <mergeCell ref="E78:F78"/>
    <mergeCell ref="A79:C79"/>
    <mergeCell ref="E79:F79"/>
    <mergeCell ref="E80:F8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47"/>
  <sheetViews>
    <sheetView workbookViewId="0"/>
  </sheetViews>
  <sheetFormatPr defaultColWidth="14.42578125" defaultRowHeight="15" customHeight="1"/>
  <cols>
    <col min="1" max="1" width="14.42578125" customWidth="1"/>
    <col min="2" max="2" width="24.28515625" customWidth="1"/>
    <col min="3" max="6" width="14.42578125" customWidth="1"/>
  </cols>
  <sheetData>
    <row r="1" spans="1:26" ht="15" customHeight="1">
      <c r="A1" s="209" t="s">
        <v>99</v>
      </c>
      <c r="B1" s="190"/>
      <c r="C1" s="190"/>
      <c r="D1" s="190"/>
      <c r="E1" s="190"/>
      <c r="F1" s="190"/>
      <c r="G1" s="190"/>
      <c r="H1" s="190"/>
      <c r="I1" s="190"/>
      <c r="J1" s="190"/>
      <c r="K1" s="138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s="210" t="s">
        <v>100</v>
      </c>
      <c r="B2" s="144"/>
      <c r="C2" s="144"/>
      <c r="D2" s="144"/>
      <c r="E2" s="144"/>
      <c r="F2" s="144"/>
      <c r="G2" s="144"/>
      <c r="H2" s="144"/>
      <c r="I2" s="144"/>
      <c r="J2" s="144"/>
      <c r="K2" s="140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187" t="s">
        <v>123</v>
      </c>
      <c r="B3" s="128"/>
      <c r="C3" s="128"/>
      <c r="D3" s="128"/>
      <c r="E3" s="128"/>
      <c r="F3" s="128"/>
      <c r="G3" s="128"/>
      <c r="H3" s="128"/>
      <c r="I3" s="128"/>
      <c r="J3" s="128"/>
      <c r="K3" s="126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188" t="s">
        <v>124</v>
      </c>
      <c r="B4" s="128"/>
      <c r="C4" s="128"/>
      <c r="D4" s="128"/>
      <c r="E4" s="128"/>
      <c r="F4" s="128"/>
      <c r="G4" s="128"/>
      <c r="H4" s="128"/>
      <c r="I4" s="128"/>
      <c r="J4" s="128"/>
      <c r="K4" s="126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202" t="s">
        <v>125</v>
      </c>
      <c r="B5" s="126"/>
      <c r="C5" s="201" t="str">
        <f>'Course Information'!$F$6</f>
        <v>DATA STRUCTURE AND APPLICATIONS</v>
      </c>
      <c r="D5" s="128"/>
      <c r="E5" s="128"/>
      <c r="F5" s="128"/>
      <c r="G5" s="128"/>
      <c r="H5" s="128"/>
      <c r="I5" s="128"/>
      <c r="J5" s="128"/>
      <c r="K5" s="12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202" t="s">
        <v>101</v>
      </c>
      <c r="B6" s="126"/>
      <c r="C6" s="177" t="str">
        <f>'Course Information'!$F$5</f>
        <v>2026-27</v>
      </c>
      <c r="D6" s="128"/>
      <c r="E6" s="128"/>
      <c r="F6" s="126"/>
      <c r="G6" s="35" t="s">
        <v>126</v>
      </c>
      <c r="H6" s="205" t="str">
        <f>'Course Information'!N5</f>
        <v>III</v>
      </c>
      <c r="I6" s="126"/>
      <c r="J6" s="35" t="s">
        <v>104</v>
      </c>
      <c r="K6" s="35" t="str">
        <f>'Course Information'!P5</f>
        <v>A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202" t="s">
        <v>106</v>
      </c>
      <c r="B7" s="126"/>
      <c r="C7" s="177" t="str">
        <f>'Course Information'!$F$7</f>
        <v>1BCS305</v>
      </c>
      <c r="D7" s="128"/>
      <c r="E7" s="128"/>
      <c r="F7" s="126"/>
      <c r="G7" s="32" t="s">
        <v>127</v>
      </c>
      <c r="H7" s="205">
        <f>'Course Information'!N7</f>
        <v>0</v>
      </c>
      <c r="I7" s="126"/>
      <c r="J7" s="202"/>
      <c r="K7" s="126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202" t="s">
        <v>129</v>
      </c>
      <c r="B8" s="126"/>
      <c r="C8" s="207"/>
      <c r="D8" s="126"/>
      <c r="E8" s="205" t="s">
        <v>130</v>
      </c>
      <c r="F8" s="126"/>
      <c r="G8" s="208">
        <f>'Course Information'!N9</f>
        <v>50</v>
      </c>
      <c r="H8" s="126"/>
      <c r="I8" s="35" t="s">
        <v>131</v>
      </c>
      <c r="J8" s="207"/>
      <c r="K8" s="126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48" t="s">
        <v>57</v>
      </c>
      <c r="B9" s="49" t="s">
        <v>110</v>
      </c>
      <c r="C9" s="49" t="s">
        <v>58</v>
      </c>
      <c r="D9" s="49" t="s">
        <v>132</v>
      </c>
      <c r="E9" s="49" t="s">
        <v>133</v>
      </c>
      <c r="F9" s="49" t="s">
        <v>134</v>
      </c>
      <c r="G9" s="49" t="s">
        <v>135</v>
      </c>
      <c r="H9" s="49" t="s">
        <v>136</v>
      </c>
      <c r="I9" s="49" t="s">
        <v>137</v>
      </c>
      <c r="J9" s="48" t="s">
        <v>138</v>
      </c>
      <c r="K9" s="48" t="s">
        <v>139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50">
        <v>1</v>
      </c>
      <c r="B10" s="41">
        <f>'Course Information'!D24</f>
        <v>0</v>
      </c>
      <c r="C10" s="8">
        <f>'Course Information'!B24</f>
        <v>0</v>
      </c>
      <c r="D10" s="36">
        <f>Evaluation!N8</f>
        <v>0</v>
      </c>
      <c r="E10" s="36">
        <f>Evaluation!AF8</f>
        <v>0</v>
      </c>
      <c r="F10" s="41"/>
      <c r="G10" s="36">
        <f>Evaluation!T8</f>
        <v>0</v>
      </c>
      <c r="H10" s="36">
        <f>Evaluation!AL8</f>
        <v>0</v>
      </c>
      <c r="I10" s="41"/>
      <c r="J10" s="41"/>
      <c r="K10" s="51">
        <f>Evaluation!BF8</f>
        <v>0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50">
        <v>2</v>
      </c>
      <c r="B11" s="41">
        <f>'Course Information'!D25</f>
        <v>0</v>
      </c>
      <c r="C11" s="8">
        <f>'Course Information'!B25</f>
        <v>0</v>
      </c>
      <c r="D11" s="36">
        <f>Evaluation!N9</f>
        <v>0</v>
      </c>
      <c r="E11" s="36">
        <f>Evaluation!AF9</f>
        <v>0</v>
      </c>
      <c r="F11" s="41"/>
      <c r="G11" s="36">
        <f>Evaluation!T9</f>
        <v>0</v>
      </c>
      <c r="H11" s="36">
        <f>Evaluation!AL9</f>
        <v>0</v>
      </c>
      <c r="I11" s="41"/>
      <c r="J11" s="41"/>
      <c r="K11" s="51">
        <f>Evaluation!BF9</f>
        <v>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50">
        <v>3</v>
      </c>
      <c r="B12" s="41">
        <f>'Course Information'!D26</f>
        <v>0</v>
      </c>
      <c r="C12" s="8">
        <f>'Course Information'!B26</f>
        <v>0</v>
      </c>
      <c r="D12" s="36">
        <f>Evaluation!N10</f>
        <v>0</v>
      </c>
      <c r="E12" s="36">
        <f>Evaluation!AF10</f>
        <v>0</v>
      </c>
      <c r="F12" s="41"/>
      <c r="G12" s="36">
        <f>Evaluation!T10</f>
        <v>0</v>
      </c>
      <c r="H12" s="36">
        <f>Evaluation!AL10</f>
        <v>0</v>
      </c>
      <c r="I12" s="41"/>
      <c r="J12" s="41"/>
      <c r="K12" s="51">
        <f>Evaluation!BF10</f>
        <v>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50">
        <v>4</v>
      </c>
      <c r="B13" s="41">
        <f>'Course Information'!D27</f>
        <v>0</v>
      </c>
      <c r="C13" s="8">
        <f>'Course Information'!B27</f>
        <v>0</v>
      </c>
      <c r="D13" s="36">
        <f>Evaluation!N11</f>
        <v>0</v>
      </c>
      <c r="E13" s="36">
        <f>Evaluation!AF11</f>
        <v>0</v>
      </c>
      <c r="F13" s="41"/>
      <c r="G13" s="36">
        <f>Evaluation!T11</f>
        <v>0</v>
      </c>
      <c r="H13" s="36">
        <f>Evaluation!AL11</f>
        <v>0</v>
      </c>
      <c r="I13" s="41"/>
      <c r="J13" s="41"/>
      <c r="K13" s="51">
        <f>Evaluation!BF11</f>
        <v>0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50">
        <v>5</v>
      </c>
      <c r="B14" s="41">
        <f>'Course Information'!D28</f>
        <v>0</v>
      </c>
      <c r="C14" s="8">
        <f>'Course Information'!B28</f>
        <v>0</v>
      </c>
      <c r="D14" s="36">
        <f>Evaluation!N12</f>
        <v>0</v>
      </c>
      <c r="E14" s="36">
        <f>Evaluation!AF12</f>
        <v>0</v>
      </c>
      <c r="F14" s="41"/>
      <c r="G14" s="36">
        <f>Evaluation!T12</f>
        <v>0</v>
      </c>
      <c r="H14" s="36">
        <f>Evaluation!AL12</f>
        <v>0</v>
      </c>
      <c r="I14" s="41"/>
      <c r="J14" s="41"/>
      <c r="K14" s="51">
        <f>Evaluation!BF12</f>
        <v>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50">
        <v>6</v>
      </c>
      <c r="B15" s="41">
        <f>'Course Information'!D29</f>
        <v>0</v>
      </c>
      <c r="C15" s="8">
        <f>'Course Information'!B29</f>
        <v>0</v>
      </c>
      <c r="D15" s="36">
        <f>Evaluation!N13</f>
        <v>0</v>
      </c>
      <c r="E15" s="36">
        <f>Evaluation!AF13</f>
        <v>0</v>
      </c>
      <c r="F15" s="41"/>
      <c r="G15" s="36">
        <f>Evaluation!T13</f>
        <v>0</v>
      </c>
      <c r="H15" s="36">
        <f>Evaluation!AL13</f>
        <v>0</v>
      </c>
      <c r="I15" s="41"/>
      <c r="J15" s="41"/>
      <c r="K15" s="51">
        <f>Evaluation!BF13</f>
        <v>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50">
        <v>7</v>
      </c>
      <c r="B16" s="41">
        <f>'Course Information'!D30</f>
        <v>0</v>
      </c>
      <c r="C16" s="8">
        <f>'Course Information'!B30</f>
        <v>0</v>
      </c>
      <c r="D16" s="36">
        <f>Evaluation!N14</f>
        <v>0</v>
      </c>
      <c r="E16" s="36">
        <f>Evaluation!AF14</f>
        <v>0</v>
      </c>
      <c r="F16" s="41"/>
      <c r="G16" s="36">
        <f>Evaluation!T14</f>
        <v>0</v>
      </c>
      <c r="H16" s="36">
        <f>Evaluation!AL14</f>
        <v>0</v>
      </c>
      <c r="I16" s="41"/>
      <c r="J16" s="41"/>
      <c r="K16" s="51">
        <f>Evaluation!BF14</f>
        <v>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50">
        <v>8</v>
      </c>
      <c r="B17" s="41">
        <f>'Course Information'!D31</f>
        <v>0</v>
      </c>
      <c r="C17" s="8">
        <f>'Course Information'!B31</f>
        <v>0</v>
      </c>
      <c r="D17" s="36">
        <f>Evaluation!N15</f>
        <v>0</v>
      </c>
      <c r="E17" s="36">
        <f>Evaluation!AF15</f>
        <v>0</v>
      </c>
      <c r="F17" s="41"/>
      <c r="G17" s="36">
        <f>Evaluation!T15</f>
        <v>0</v>
      </c>
      <c r="H17" s="36">
        <f>Evaluation!AL15</f>
        <v>0</v>
      </c>
      <c r="I17" s="41"/>
      <c r="J17" s="41"/>
      <c r="K17" s="51">
        <f>Evaluation!BF15</f>
        <v>0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50">
        <v>9</v>
      </c>
      <c r="B18" s="41">
        <f>'Course Information'!D32</f>
        <v>0</v>
      </c>
      <c r="C18" s="8">
        <f>'Course Information'!B32</f>
        <v>0</v>
      </c>
      <c r="D18" s="36">
        <f>Evaluation!N16</f>
        <v>0</v>
      </c>
      <c r="E18" s="36">
        <f>Evaluation!AF16</f>
        <v>0</v>
      </c>
      <c r="F18" s="41"/>
      <c r="G18" s="36">
        <f>Evaluation!T16</f>
        <v>0</v>
      </c>
      <c r="H18" s="36">
        <f>Evaluation!AL16</f>
        <v>0</v>
      </c>
      <c r="I18" s="41"/>
      <c r="J18" s="41"/>
      <c r="K18" s="51">
        <f>Evaluation!BF16</f>
        <v>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50">
        <v>10</v>
      </c>
      <c r="B19" s="41">
        <f>'Course Information'!D33</f>
        <v>0</v>
      </c>
      <c r="C19" s="8">
        <f>'Course Information'!B33</f>
        <v>0</v>
      </c>
      <c r="D19" s="36">
        <f>Evaluation!N17</f>
        <v>0</v>
      </c>
      <c r="E19" s="36">
        <f>Evaluation!AF17</f>
        <v>0</v>
      </c>
      <c r="F19" s="41"/>
      <c r="G19" s="36">
        <f>Evaluation!T17</f>
        <v>0</v>
      </c>
      <c r="H19" s="36">
        <f>Evaluation!AL17</f>
        <v>0</v>
      </c>
      <c r="I19" s="41"/>
      <c r="J19" s="41"/>
      <c r="K19" s="51">
        <f>Evaluation!BF17</f>
        <v>0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50">
        <v>11</v>
      </c>
      <c r="B20" s="41">
        <f>'Course Information'!D34</f>
        <v>0</v>
      </c>
      <c r="C20" s="8">
        <f>'Course Information'!B34</f>
        <v>0</v>
      </c>
      <c r="D20" s="36">
        <f>Evaluation!N18</f>
        <v>0</v>
      </c>
      <c r="E20" s="36">
        <f>Evaluation!AF18</f>
        <v>0</v>
      </c>
      <c r="F20" s="41"/>
      <c r="G20" s="36">
        <f>Evaluation!T18</f>
        <v>0</v>
      </c>
      <c r="H20" s="36">
        <f>Evaluation!AL18</f>
        <v>0</v>
      </c>
      <c r="I20" s="41"/>
      <c r="J20" s="41"/>
      <c r="K20" s="51">
        <f>Evaluation!BF18</f>
        <v>0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50">
        <v>12</v>
      </c>
      <c r="B21" s="41">
        <f>'Course Information'!D35</f>
        <v>0</v>
      </c>
      <c r="C21" s="8">
        <f>'Course Information'!B35</f>
        <v>0</v>
      </c>
      <c r="D21" s="36">
        <f>Evaluation!N19</f>
        <v>0</v>
      </c>
      <c r="E21" s="36">
        <f>Evaluation!AF19</f>
        <v>0</v>
      </c>
      <c r="F21" s="41"/>
      <c r="G21" s="36">
        <f>Evaluation!T19</f>
        <v>0</v>
      </c>
      <c r="H21" s="36">
        <f>Evaluation!AL19</f>
        <v>0</v>
      </c>
      <c r="I21" s="41"/>
      <c r="J21" s="41"/>
      <c r="K21" s="51">
        <f>Evaluation!BF19</f>
        <v>0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50">
        <v>13</v>
      </c>
      <c r="B22" s="41">
        <f>'Course Information'!D36</f>
        <v>0</v>
      </c>
      <c r="C22" s="8">
        <f>'Course Information'!B36</f>
        <v>0</v>
      </c>
      <c r="D22" s="36">
        <f>Evaluation!N20</f>
        <v>0</v>
      </c>
      <c r="E22" s="36">
        <f>Evaluation!AF20</f>
        <v>0</v>
      </c>
      <c r="F22" s="41"/>
      <c r="G22" s="36">
        <f>Evaluation!T20</f>
        <v>0</v>
      </c>
      <c r="H22" s="36">
        <f>Evaluation!AL20</f>
        <v>0</v>
      </c>
      <c r="I22" s="41"/>
      <c r="J22" s="41"/>
      <c r="K22" s="51">
        <f>Evaluation!BF20</f>
        <v>0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50">
        <v>14</v>
      </c>
      <c r="B23" s="41">
        <f>'Course Information'!D37</f>
        <v>0</v>
      </c>
      <c r="C23" s="8">
        <f>'Course Information'!B37</f>
        <v>0</v>
      </c>
      <c r="D23" s="36">
        <f>Evaluation!N21</f>
        <v>0</v>
      </c>
      <c r="E23" s="36">
        <f>Evaluation!AF21</f>
        <v>0</v>
      </c>
      <c r="F23" s="41"/>
      <c r="G23" s="36">
        <f>Evaluation!T21</f>
        <v>0</v>
      </c>
      <c r="H23" s="36">
        <f>Evaluation!AL21</f>
        <v>0</v>
      </c>
      <c r="I23" s="41"/>
      <c r="J23" s="41"/>
      <c r="K23" s="51">
        <f>Evaluation!BF21</f>
        <v>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50">
        <v>15</v>
      </c>
      <c r="B24" s="41">
        <f>'Course Information'!D38</f>
        <v>0</v>
      </c>
      <c r="C24" s="8">
        <f>'Course Information'!B38</f>
        <v>0</v>
      </c>
      <c r="D24" s="36">
        <f>Evaluation!N22</f>
        <v>0</v>
      </c>
      <c r="E24" s="36">
        <f>Evaluation!AF22</f>
        <v>0</v>
      </c>
      <c r="F24" s="41"/>
      <c r="G24" s="36">
        <f>Evaluation!T22</f>
        <v>0</v>
      </c>
      <c r="H24" s="36">
        <f>Evaluation!AL22</f>
        <v>0</v>
      </c>
      <c r="I24" s="41"/>
      <c r="J24" s="41"/>
      <c r="K24" s="51">
        <f>Evaluation!BF22</f>
        <v>0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50">
        <v>16</v>
      </c>
      <c r="B25" s="41">
        <f>'Course Information'!D39</f>
        <v>0</v>
      </c>
      <c r="C25" s="8">
        <f>'Course Information'!B39</f>
        <v>0</v>
      </c>
      <c r="D25" s="36">
        <f>Evaluation!N23</f>
        <v>0</v>
      </c>
      <c r="E25" s="36">
        <f>Evaluation!AF23</f>
        <v>0</v>
      </c>
      <c r="F25" s="41"/>
      <c r="G25" s="36">
        <f>Evaluation!T23</f>
        <v>0</v>
      </c>
      <c r="H25" s="36">
        <f>Evaluation!AL23</f>
        <v>0</v>
      </c>
      <c r="I25" s="41"/>
      <c r="J25" s="41"/>
      <c r="K25" s="51">
        <f>Evaluation!BF23</f>
        <v>0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50">
        <v>17</v>
      </c>
      <c r="B26" s="41">
        <f>'Course Information'!D40</f>
        <v>0</v>
      </c>
      <c r="C26" s="8">
        <f>'Course Information'!B40</f>
        <v>0</v>
      </c>
      <c r="D26" s="36">
        <f>Evaluation!N24</f>
        <v>0</v>
      </c>
      <c r="E26" s="36">
        <f>Evaluation!AF24</f>
        <v>0</v>
      </c>
      <c r="F26" s="41"/>
      <c r="G26" s="36">
        <f>Evaluation!T24</f>
        <v>0</v>
      </c>
      <c r="H26" s="36">
        <f>Evaluation!AL24</f>
        <v>0</v>
      </c>
      <c r="I26" s="41"/>
      <c r="J26" s="41"/>
      <c r="K26" s="51">
        <f>Evaluation!BF24</f>
        <v>0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50">
        <v>18</v>
      </c>
      <c r="B27" s="41">
        <f>'Course Information'!D41</f>
        <v>0</v>
      </c>
      <c r="C27" s="8">
        <f>'Course Information'!B41</f>
        <v>0</v>
      </c>
      <c r="D27" s="36">
        <f>Evaluation!N25</f>
        <v>0</v>
      </c>
      <c r="E27" s="36">
        <f>Evaluation!AF25</f>
        <v>0</v>
      </c>
      <c r="F27" s="41"/>
      <c r="G27" s="36">
        <f>Evaluation!T25</f>
        <v>0</v>
      </c>
      <c r="H27" s="36">
        <f>Evaluation!AL25</f>
        <v>0</v>
      </c>
      <c r="I27" s="41"/>
      <c r="J27" s="41"/>
      <c r="K27" s="51">
        <f>Evaluation!BF25</f>
        <v>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50">
        <v>19</v>
      </c>
      <c r="B28" s="41">
        <f>'Course Information'!D42</f>
        <v>0</v>
      </c>
      <c r="C28" s="8">
        <f>'Course Information'!B42</f>
        <v>0</v>
      </c>
      <c r="D28" s="36">
        <f>Evaluation!N26</f>
        <v>0</v>
      </c>
      <c r="E28" s="36">
        <f>Evaluation!AF26</f>
        <v>0</v>
      </c>
      <c r="F28" s="41"/>
      <c r="G28" s="36">
        <f>Evaluation!T26</f>
        <v>0</v>
      </c>
      <c r="H28" s="36">
        <f>Evaluation!AL26</f>
        <v>0</v>
      </c>
      <c r="I28" s="41"/>
      <c r="J28" s="41"/>
      <c r="K28" s="51">
        <f>Evaluation!BF26</f>
        <v>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>
      <c r="A29" s="50">
        <v>20</v>
      </c>
      <c r="B29" s="41">
        <f>'Course Information'!D43</f>
        <v>0</v>
      </c>
      <c r="C29" s="8">
        <f>'Course Information'!B43</f>
        <v>0</v>
      </c>
      <c r="D29" s="36">
        <f>Evaluation!N27</f>
        <v>0</v>
      </c>
      <c r="E29" s="36">
        <f>Evaluation!AF27</f>
        <v>0</v>
      </c>
      <c r="F29" s="41"/>
      <c r="G29" s="36">
        <f>Evaluation!T27</f>
        <v>0</v>
      </c>
      <c r="H29" s="36">
        <f>Evaluation!AL27</f>
        <v>0</v>
      </c>
      <c r="I29" s="41"/>
      <c r="J29" s="41"/>
      <c r="K29" s="51">
        <f>Evaluation!BF27</f>
        <v>0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>
      <c r="A30" s="50">
        <v>21</v>
      </c>
      <c r="B30" s="41">
        <f>'Course Information'!D44</f>
        <v>0</v>
      </c>
      <c r="C30" s="8">
        <f>'Course Information'!B44</f>
        <v>0</v>
      </c>
      <c r="D30" s="36">
        <f>Evaluation!N28</f>
        <v>0</v>
      </c>
      <c r="E30" s="36">
        <f>Evaluation!AF28</f>
        <v>0</v>
      </c>
      <c r="F30" s="41"/>
      <c r="G30" s="36">
        <f>Evaluation!T28</f>
        <v>0</v>
      </c>
      <c r="H30" s="36">
        <f>Evaluation!AL28</f>
        <v>0</v>
      </c>
      <c r="I30" s="41"/>
      <c r="J30" s="41"/>
      <c r="K30" s="51">
        <f>Evaluation!BF28</f>
        <v>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>
      <c r="A31" s="50">
        <v>22</v>
      </c>
      <c r="B31" s="41">
        <f>'Course Information'!D45</f>
        <v>0</v>
      </c>
      <c r="C31" s="8">
        <f>'Course Information'!B45</f>
        <v>0</v>
      </c>
      <c r="D31" s="36">
        <f>Evaluation!N29</f>
        <v>0</v>
      </c>
      <c r="E31" s="36">
        <f>Evaluation!AF29</f>
        <v>0</v>
      </c>
      <c r="F31" s="41"/>
      <c r="G31" s="36">
        <f>Evaluation!T29</f>
        <v>0</v>
      </c>
      <c r="H31" s="36">
        <f>Evaluation!AL29</f>
        <v>0</v>
      </c>
      <c r="I31" s="41"/>
      <c r="J31" s="41"/>
      <c r="K31" s="51">
        <f>Evaluation!BF29</f>
        <v>0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>
      <c r="A32" s="50">
        <v>23</v>
      </c>
      <c r="B32" s="41">
        <f>'Course Information'!D46</f>
        <v>0</v>
      </c>
      <c r="C32" s="8">
        <f>'Course Information'!B46</f>
        <v>0</v>
      </c>
      <c r="D32" s="36">
        <f>Evaluation!N30</f>
        <v>0</v>
      </c>
      <c r="E32" s="36">
        <f>Evaluation!AF30</f>
        <v>0</v>
      </c>
      <c r="F32" s="41"/>
      <c r="G32" s="36">
        <f>Evaluation!T30</f>
        <v>0</v>
      </c>
      <c r="H32" s="36">
        <f>Evaluation!AL30</f>
        <v>0</v>
      </c>
      <c r="I32" s="41"/>
      <c r="J32" s="41"/>
      <c r="K32" s="51">
        <f>Evaluation!BF30</f>
        <v>0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>
      <c r="A33" s="50">
        <v>24</v>
      </c>
      <c r="B33" s="41">
        <f>'Course Information'!D47</f>
        <v>0</v>
      </c>
      <c r="C33" s="8">
        <f>'Course Information'!B47</f>
        <v>0</v>
      </c>
      <c r="D33" s="36">
        <f>Evaluation!N31</f>
        <v>0</v>
      </c>
      <c r="E33" s="36">
        <f>Evaluation!AF31</f>
        <v>0</v>
      </c>
      <c r="F33" s="41"/>
      <c r="G33" s="36">
        <f>Evaluation!T31</f>
        <v>0</v>
      </c>
      <c r="H33" s="36">
        <f>Evaluation!AL31</f>
        <v>0</v>
      </c>
      <c r="I33" s="41"/>
      <c r="J33" s="41"/>
      <c r="K33" s="51">
        <f>Evaluation!BF31</f>
        <v>0</v>
      </c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>
      <c r="A34" s="50">
        <v>25</v>
      </c>
      <c r="B34" s="41">
        <f>'Course Information'!D48</f>
        <v>0</v>
      </c>
      <c r="C34" s="8">
        <f>'Course Information'!B48</f>
        <v>0</v>
      </c>
      <c r="D34" s="36">
        <f>Evaluation!N32</f>
        <v>0</v>
      </c>
      <c r="E34" s="36">
        <f>Evaluation!AF32</f>
        <v>0</v>
      </c>
      <c r="F34" s="41"/>
      <c r="G34" s="36">
        <f>Evaluation!T32</f>
        <v>0</v>
      </c>
      <c r="H34" s="36">
        <f>Evaluation!AL32</f>
        <v>0</v>
      </c>
      <c r="I34" s="41"/>
      <c r="J34" s="41"/>
      <c r="K34" s="51">
        <f>Evaluation!BF32</f>
        <v>0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>
      <c r="A35" s="50">
        <v>26</v>
      </c>
      <c r="B35" s="41">
        <f>'Course Information'!D49</f>
        <v>0</v>
      </c>
      <c r="C35" s="8">
        <f>'Course Information'!B49</f>
        <v>0</v>
      </c>
      <c r="D35" s="36">
        <f>Evaluation!N33</f>
        <v>0</v>
      </c>
      <c r="E35" s="36">
        <f>Evaluation!AF33</f>
        <v>0</v>
      </c>
      <c r="F35" s="41"/>
      <c r="G35" s="36">
        <f>Evaluation!T33</f>
        <v>0</v>
      </c>
      <c r="H35" s="36">
        <f>Evaluation!AL33</f>
        <v>0</v>
      </c>
      <c r="I35" s="41"/>
      <c r="J35" s="41"/>
      <c r="K35" s="51">
        <f>Evaluation!BF33</f>
        <v>0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>
      <c r="A36" s="50">
        <v>27</v>
      </c>
      <c r="B36" s="41">
        <f>'Course Information'!D50</f>
        <v>0</v>
      </c>
      <c r="C36" s="8">
        <f>'Course Information'!B50</f>
        <v>0</v>
      </c>
      <c r="D36" s="36">
        <f>Evaluation!N34</f>
        <v>0</v>
      </c>
      <c r="E36" s="36">
        <f>Evaluation!AF34</f>
        <v>0</v>
      </c>
      <c r="F36" s="41"/>
      <c r="G36" s="36">
        <f>Evaluation!T34</f>
        <v>0</v>
      </c>
      <c r="H36" s="36">
        <f>Evaluation!AL34</f>
        <v>0</v>
      </c>
      <c r="I36" s="41"/>
      <c r="J36" s="41"/>
      <c r="K36" s="51">
        <f>Evaluation!BF34</f>
        <v>0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5.75" customHeight="1">
      <c r="A37" s="50">
        <v>28</v>
      </c>
      <c r="B37" s="41">
        <f>'Course Information'!D51</f>
        <v>0</v>
      </c>
      <c r="C37" s="8">
        <f>'Course Information'!B51</f>
        <v>0</v>
      </c>
      <c r="D37" s="36">
        <f>Evaluation!N35</f>
        <v>0</v>
      </c>
      <c r="E37" s="36">
        <f>Evaluation!AF35</f>
        <v>0</v>
      </c>
      <c r="F37" s="41"/>
      <c r="G37" s="36">
        <f>Evaluation!T35</f>
        <v>0</v>
      </c>
      <c r="H37" s="36">
        <f>Evaluation!AL35</f>
        <v>0</v>
      </c>
      <c r="I37" s="41"/>
      <c r="J37" s="41"/>
      <c r="K37" s="51">
        <f>Evaluation!BF35</f>
        <v>0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5.75" customHeight="1">
      <c r="A38" s="50">
        <v>29</v>
      </c>
      <c r="B38" s="41">
        <f>'Course Information'!D52</f>
        <v>0</v>
      </c>
      <c r="C38" s="8">
        <f>'Course Information'!B52</f>
        <v>0</v>
      </c>
      <c r="D38" s="36">
        <f>Evaluation!N36</f>
        <v>0</v>
      </c>
      <c r="E38" s="36">
        <f>Evaluation!AF36</f>
        <v>0</v>
      </c>
      <c r="F38" s="41"/>
      <c r="G38" s="36">
        <f>Evaluation!T36</f>
        <v>0</v>
      </c>
      <c r="H38" s="36">
        <f>Evaluation!AL36</f>
        <v>0</v>
      </c>
      <c r="I38" s="41"/>
      <c r="J38" s="41"/>
      <c r="K38" s="51">
        <f>Evaluation!BF36</f>
        <v>0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5.75" customHeight="1">
      <c r="A39" s="50">
        <v>30</v>
      </c>
      <c r="B39" s="41">
        <f>'Course Information'!D53</f>
        <v>0</v>
      </c>
      <c r="C39" s="8">
        <f>'Course Information'!B53</f>
        <v>0</v>
      </c>
      <c r="D39" s="36">
        <f>Evaluation!N37</f>
        <v>0</v>
      </c>
      <c r="E39" s="36">
        <f>Evaluation!AF37</f>
        <v>0</v>
      </c>
      <c r="F39" s="41"/>
      <c r="G39" s="36">
        <f>Evaluation!T37</f>
        <v>0</v>
      </c>
      <c r="H39" s="36">
        <f>Evaluation!AL37</f>
        <v>0</v>
      </c>
      <c r="I39" s="41"/>
      <c r="J39" s="41"/>
      <c r="K39" s="51">
        <f>Evaluation!BF37</f>
        <v>0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5.75" customHeight="1">
      <c r="A40" s="50">
        <v>31</v>
      </c>
      <c r="B40" s="41">
        <f>'Course Information'!D54</f>
        <v>0</v>
      </c>
      <c r="C40" s="8">
        <f>'Course Information'!B54</f>
        <v>0</v>
      </c>
      <c r="D40" s="36">
        <f>Evaluation!N38</f>
        <v>0</v>
      </c>
      <c r="E40" s="36">
        <f>Evaluation!AF38</f>
        <v>0</v>
      </c>
      <c r="F40" s="41"/>
      <c r="G40" s="36">
        <f>Evaluation!T38</f>
        <v>0</v>
      </c>
      <c r="H40" s="36">
        <f>Evaluation!AL38</f>
        <v>0</v>
      </c>
      <c r="I40" s="41"/>
      <c r="J40" s="41"/>
      <c r="K40" s="51">
        <f>Evaluation!BF38</f>
        <v>0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5.75" customHeight="1">
      <c r="A41" s="50">
        <v>32</v>
      </c>
      <c r="B41" s="41">
        <f>'Course Information'!D55</f>
        <v>0</v>
      </c>
      <c r="C41" s="8">
        <f>'Course Information'!B55</f>
        <v>0</v>
      </c>
      <c r="D41" s="36">
        <f>Evaluation!N39</f>
        <v>0</v>
      </c>
      <c r="E41" s="36">
        <f>Evaluation!AF39</f>
        <v>0</v>
      </c>
      <c r="F41" s="41"/>
      <c r="G41" s="36">
        <f>Evaluation!T39</f>
        <v>0</v>
      </c>
      <c r="H41" s="36">
        <f>Evaluation!AL39</f>
        <v>0</v>
      </c>
      <c r="I41" s="41"/>
      <c r="J41" s="41"/>
      <c r="K41" s="51">
        <f>Evaluation!BF39</f>
        <v>0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5.75" customHeight="1">
      <c r="A42" s="50">
        <v>33</v>
      </c>
      <c r="B42" s="41">
        <f>'Course Information'!D56</f>
        <v>0</v>
      </c>
      <c r="C42" s="8">
        <f>'Course Information'!B56</f>
        <v>0</v>
      </c>
      <c r="D42" s="36">
        <f>Evaluation!N40</f>
        <v>0</v>
      </c>
      <c r="E42" s="36">
        <f>Evaluation!AF40</f>
        <v>0</v>
      </c>
      <c r="F42" s="41"/>
      <c r="G42" s="36">
        <f>Evaluation!T40</f>
        <v>0</v>
      </c>
      <c r="H42" s="36">
        <f>Evaluation!AL40</f>
        <v>0</v>
      </c>
      <c r="I42" s="41"/>
      <c r="J42" s="41"/>
      <c r="K42" s="51">
        <f>Evaluation!BF40</f>
        <v>0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5.75" customHeight="1">
      <c r="A43" s="50">
        <v>34</v>
      </c>
      <c r="B43" s="41">
        <f>'Course Information'!D57</f>
        <v>0</v>
      </c>
      <c r="C43" s="8">
        <f>'Course Information'!B57</f>
        <v>0</v>
      </c>
      <c r="D43" s="36">
        <f>Evaluation!N41</f>
        <v>0</v>
      </c>
      <c r="E43" s="36">
        <f>Evaluation!AF41</f>
        <v>0</v>
      </c>
      <c r="F43" s="41"/>
      <c r="G43" s="36">
        <f>Evaluation!T41</f>
        <v>0</v>
      </c>
      <c r="H43" s="36">
        <f>Evaluation!AL41</f>
        <v>0</v>
      </c>
      <c r="I43" s="41"/>
      <c r="J43" s="41"/>
      <c r="K43" s="51">
        <f>Evaluation!BF41</f>
        <v>0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5.75" customHeight="1">
      <c r="A44" s="50">
        <v>35</v>
      </c>
      <c r="B44" s="41">
        <f>'Course Information'!D58</f>
        <v>0</v>
      </c>
      <c r="C44" s="8">
        <f>'Course Information'!B58</f>
        <v>0</v>
      </c>
      <c r="D44" s="36">
        <f>Evaluation!N42</f>
        <v>0</v>
      </c>
      <c r="E44" s="36">
        <f>Evaluation!AF42</f>
        <v>0</v>
      </c>
      <c r="F44" s="41"/>
      <c r="G44" s="36">
        <f>Evaluation!T42</f>
        <v>0</v>
      </c>
      <c r="H44" s="36">
        <f>Evaluation!AL42</f>
        <v>0</v>
      </c>
      <c r="I44" s="41"/>
      <c r="J44" s="41"/>
      <c r="K44" s="51">
        <f>Evaluation!BF42</f>
        <v>0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5.75" customHeight="1">
      <c r="A45" s="50">
        <v>36</v>
      </c>
      <c r="B45" s="41">
        <f>'Course Information'!D59</f>
        <v>0</v>
      </c>
      <c r="C45" s="8">
        <f>'Course Information'!B59</f>
        <v>0</v>
      </c>
      <c r="D45" s="36">
        <f>Evaluation!N43</f>
        <v>0</v>
      </c>
      <c r="E45" s="36">
        <f>Evaluation!AF43</f>
        <v>0</v>
      </c>
      <c r="F45" s="41"/>
      <c r="G45" s="36">
        <f>Evaluation!T43</f>
        <v>0</v>
      </c>
      <c r="H45" s="36">
        <f>Evaluation!AL43</f>
        <v>0</v>
      </c>
      <c r="I45" s="41"/>
      <c r="J45" s="41"/>
      <c r="K45" s="51">
        <f>Evaluation!BF43</f>
        <v>0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5.75" customHeight="1">
      <c r="A46" s="50">
        <v>37</v>
      </c>
      <c r="B46" s="41">
        <f>'Course Information'!D60</f>
        <v>0</v>
      </c>
      <c r="C46" s="8">
        <f>'Course Information'!B60</f>
        <v>0</v>
      </c>
      <c r="D46" s="36">
        <f>Evaluation!N44</f>
        <v>0</v>
      </c>
      <c r="E46" s="36">
        <f>Evaluation!AF44</f>
        <v>0</v>
      </c>
      <c r="F46" s="41"/>
      <c r="G46" s="36">
        <f>Evaluation!T44</f>
        <v>0</v>
      </c>
      <c r="H46" s="36">
        <f>Evaluation!AL44</f>
        <v>0</v>
      </c>
      <c r="I46" s="41"/>
      <c r="J46" s="41"/>
      <c r="K46" s="51">
        <f>Evaluation!BF44</f>
        <v>0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5.75" customHeight="1">
      <c r="A47" s="50">
        <v>38</v>
      </c>
      <c r="B47" s="41">
        <f>'Course Information'!D61</f>
        <v>0</v>
      </c>
      <c r="C47" s="8">
        <f>'Course Information'!B61</f>
        <v>0</v>
      </c>
      <c r="D47" s="36">
        <f>Evaluation!N45</f>
        <v>0</v>
      </c>
      <c r="E47" s="36">
        <f>Evaluation!AF45</f>
        <v>0</v>
      </c>
      <c r="F47" s="41"/>
      <c r="G47" s="36">
        <f>Evaluation!T45</f>
        <v>0</v>
      </c>
      <c r="H47" s="36">
        <f>Evaluation!AL45</f>
        <v>0</v>
      </c>
      <c r="I47" s="41"/>
      <c r="J47" s="41"/>
      <c r="K47" s="51">
        <f>Evaluation!BF45</f>
        <v>0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5.75" customHeight="1">
      <c r="A48" s="50">
        <v>39</v>
      </c>
      <c r="B48" s="41">
        <f>'Course Information'!D62</f>
        <v>0</v>
      </c>
      <c r="C48" s="8">
        <f>'Course Information'!B62</f>
        <v>0</v>
      </c>
      <c r="D48" s="36">
        <f>Evaluation!N46</f>
        <v>0</v>
      </c>
      <c r="E48" s="36">
        <f>Evaluation!AF46</f>
        <v>0</v>
      </c>
      <c r="F48" s="41"/>
      <c r="G48" s="36">
        <f>Evaluation!T46</f>
        <v>0</v>
      </c>
      <c r="H48" s="36">
        <f>Evaluation!AL46</f>
        <v>0</v>
      </c>
      <c r="I48" s="41"/>
      <c r="J48" s="41"/>
      <c r="K48" s="51">
        <f>Evaluation!BF46</f>
        <v>0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5.75" customHeight="1">
      <c r="A49" s="50">
        <v>40</v>
      </c>
      <c r="B49" s="41">
        <f>'Course Information'!D63</f>
        <v>0</v>
      </c>
      <c r="C49" s="8">
        <f>'Course Information'!B63</f>
        <v>0</v>
      </c>
      <c r="D49" s="36">
        <f>Evaluation!N47</f>
        <v>0</v>
      </c>
      <c r="E49" s="36">
        <f>Evaluation!AF47</f>
        <v>0</v>
      </c>
      <c r="F49" s="41"/>
      <c r="G49" s="36">
        <f>Evaluation!T47</f>
        <v>0</v>
      </c>
      <c r="H49" s="36">
        <f>Evaluation!AL47</f>
        <v>0</v>
      </c>
      <c r="I49" s="41"/>
      <c r="J49" s="41"/>
      <c r="K49" s="51">
        <f>Evaluation!BF47</f>
        <v>0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5.75" customHeight="1">
      <c r="A50" s="50">
        <v>41</v>
      </c>
      <c r="B50" s="41">
        <f>'Course Information'!D64</f>
        <v>0</v>
      </c>
      <c r="C50" s="8">
        <f>'Course Information'!B64</f>
        <v>0</v>
      </c>
      <c r="D50" s="36">
        <f>Evaluation!N48</f>
        <v>0</v>
      </c>
      <c r="E50" s="36">
        <f>Evaluation!AF48</f>
        <v>0</v>
      </c>
      <c r="F50" s="41"/>
      <c r="G50" s="36">
        <f>Evaluation!T48</f>
        <v>0</v>
      </c>
      <c r="H50" s="36">
        <f>Evaluation!AL48</f>
        <v>0</v>
      </c>
      <c r="I50" s="41"/>
      <c r="J50" s="41"/>
      <c r="K50" s="51">
        <f>Evaluation!BF48</f>
        <v>0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5.75" customHeight="1">
      <c r="A51" s="50">
        <v>42</v>
      </c>
      <c r="B51" s="41">
        <f>'Course Information'!D65</f>
        <v>0</v>
      </c>
      <c r="C51" s="8">
        <f>'Course Information'!B65</f>
        <v>0</v>
      </c>
      <c r="D51" s="36">
        <f>Evaluation!N49</f>
        <v>0</v>
      </c>
      <c r="E51" s="36">
        <f>Evaluation!AF49</f>
        <v>0</v>
      </c>
      <c r="F51" s="41"/>
      <c r="G51" s="36">
        <f>Evaluation!T49</f>
        <v>0</v>
      </c>
      <c r="H51" s="36">
        <f>Evaluation!AL49</f>
        <v>0</v>
      </c>
      <c r="I51" s="41"/>
      <c r="J51" s="41"/>
      <c r="K51" s="51">
        <f>Evaluation!BF49</f>
        <v>0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>
      <c r="A52" s="50">
        <v>43</v>
      </c>
      <c r="B52" s="41">
        <f>'Course Information'!D66</f>
        <v>0</v>
      </c>
      <c r="C52" s="8">
        <f>'Course Information'!B66</f>
        <v>0</v>
      </c>
      <c r="D52" s="36">
        <f>Evaluation!N50</f>
        <v>0</v>
      </c>
      <c r="E52" s="36">
        <f>Evaluation!AF50</f>
        <v>0</v>
      </c>
      <c r="F52" s="41"/>
      <c r="G52" s="36">
        <f>Evaluation!T50</f>
        <v>0</v>
      </c>
      <c r="H52" s="36">
        <f>Evaluation!AL50</f>
        <v>0</v>
      </c>
      <c r="I52" s="41"/>
      <c r="J52" s="41"/>
      <c r="K52" s="51">
        <f>Evaluation!BF50</f>
        <v>0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5.75" customHeight="1">
      <c r="A53" s="50">
        <v>44</v>
      </c>
      <c r="B53" s="41">
        <f>'Course Information'!D67</f>
        <v>0</v>
      </c>
      <c r="C53" s="8">
        <f>'Course Information'!B67</f>
        <v>0</v>
      </c>
      <c r="D53" s="36">
        <f>Evaluation!N51</f>
        <v>0</v>
      </c>
      <c r="E53" s="36">
        <f>Evaluation!AF51</f>
        <v>0</v>
      </c>
      <c r="F53" s="41"/>
      <c r="G53" s="36">
        <f>Evaluation!T51</f>
        <v>0</v>
      </c>
      <c r="H53" s="36">
        <f>Evaluation!AL51</f>
        <v>0</v>
      </c>
      <c r="I53" s="41"/>
      <c r="J53" s="41"/>
      <c r="K53" s="51">
        <f>Evaluation!BF51</f>
        <v>0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>
      <c r="A54" s="50">
        <v>45</v>
      </c>
      <c r="B54" s="41">
        <f>'Course Information'!D68</f>
        <v>0</v>
      </c>
      <c r="C54" s="8">
        <f>'Course Information'!B68</f>
        <v>0</v>
      </c>
      <c r="D54" s="36">
        <f>Evaluation!N52</f>
        <v>0</v>
      </c>
      <c r="E54" s="36">
        <f>Evaluation!AF52</f>
        <v>0</v>
      </c>
      <c r="F54" s="41"/>
      <c r="G54" s="36">
        <f>Evaluation!T52</f>
        <v>0</v>
      </c>
      <c r="H54" s="36">
        <f>Evaluation!AL52</f>
        <v>0</v>
      </c>
      <c r="I54" s="41"/>
      <c r="J54" s="41"/>
      <c r="K54" s="51">
        <f>Evaluation!BF52</f>
        <v>0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>
      <c r="A55" s="50">
        <v>46</v>
      </c>
      <c r="B55" s="41">
        <f>'Course Information'!D69</f>
        <v>0</v>
      </c>
      <c r="C55" s="8">
        <f>'Course Information'!B69</f>
        <v>0</v>
      </c>
      <c r="D55" s="36">
        <f>Evaluation!N53</f>
        <v>0</v>
      </c>
      <c r="E55" s="36">
        <f>Evaluation!AF53</f>
        <v>0</v>
      </c>
      <c r="F55" s="41"/>
      <c r="G55" s="36">
        <f>Evaluation!T53</f>
        <v>0</v>
      </c>
      <c r="H55" s="36">
        <f>Evaluation!AL53</f>
        <v>0</v>
      </c>
      <c r="I55" s="41"/>
      <c r="J55" s="41"/>
      <c r="K55" s="51">
        <f>Evaluation!BF53</f>
        <v>0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>
      <c r="A56" s="50">
        <v>47</v>
      </c>
      <c r="B56" s="41">
        <f>'Course Information'!D70</f>
        <v>0</v>
      </c>
      <c r="C56" s="8">
        <f>'Course Information'!B70</f>
        <v>0</v>
      </c>
      <c r="D56" s="36">
        <f>Evaluation!N54</f>
        <v>0</v>
      </c>
      <c r="E56" s="36">
        <f>Evaluation!AF54</f>
        <v>0</v>
      </c>
      <c r="F56" s="41"/>
      <c r="G56" s="36">
        <f>Evaluation!T54</f>
        <v>0</v>
      </c>
      <c r="H56" s="36">
        <f>Evaluation!AL54</f>
        <v>0</v>
      </c>
      <c r="I56" s="41"/>
      <c r="J56" s="41"/>
      <c r="K56" s="51">
        <f>Evaluation!BF54</f>
        <v>0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>
      <c r="A57" s="50">
        <v>48</v>
      </c>
      <c r="B57" s="41">
        <f>'Course Information'!D71</f>
        <v>0</v>
      </c>
      <c r="C57" s="8">
        <f>'Course Information'!B71</f>
        <v>0</v>
      </c>
      <c r="D57" s="36">
        <f>Evaluation!N55</f>
        <v>0</v>
      </c>
      <c r="E57" s="36">
        <f>Evaluation!AF55</f>
        <v>0</v>
      </c>
      <c r="F57" s="41"/>
      <c r="G57" s="36">
        <f>Evaluation!T55</f>
        <v>0</v>
      </c>
      <c r="H57" s="36">
        <f>Evaluation!AL55</f>
        <v>0</v>
      </c>
      <c r="I57" s="41"/>
      <c r="J57" s="41"/>
      <c r="K57" s="51">
        <f>Evaluation!BF55</f>
        <v>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>
      <c r="A58" s="50">
        <v>49</v>
      </c>
      <c r="B58" s="41">
        <f>'Course Information'!D72</f>
        <v>0</v>
      </c>
      <c r="C58" s="8">
        <f>'Course Information'!B72</f>
        <v>0</v>
      </c>
      <c r="D58" s="36">
        <f>Evaluation!N56</f>
        <v>0</v>
      </c>
      <c r="E58" s="36">
        <f>Evaluation!AF56</f>
        <v>0</v>
      </c>
      <c r="F58" s="41"/>
      <c r="G58" s="36">
        <f>Evaluation!T56</f>
        <v>0</v>
      </c>
      <c r="H58" s="36">
        <f>Evaluation!AL56</f>
        <v>0</v>
      </c>
      <c r="I58" s="41"/>
      <c r="J58" s="41"/>
      <c r="K58" s="51">
        <f>Evaluation!BF56</f>
        <v>0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>
      <c r="A59" s="50">
        <v>50</v>
      </c>
      <c r="B59" s="41">
        <f>'Course Information'!D73</f>
        <v>0</v>
      </c>
      <c r="C59" s="8">
        <f>'Course Information'!B73</f>
        <v>0</v>
      </c>
      <c r="D59" s="36">
        <f>Evaluation!N57</f>
        <v>0</v>
      </c>
      <c r="E59" s="36">
        <f>Evaluation!AF57</f>
        <v>0</v>
      </c>
      <c r="F59" s="41"/>
      <c r="G59" s="36">
        <f>Evaluation!T57</f>
        <v>0</v>
      </c>
      <c r="H59" s="36">
        <f>Evaluation!AL57</f>
        <v>0</v>
      </c>
      <c r="I59" s="41"/>
      <c r="J59" s="41"/>
      <c r="K59" s="51">
        <f>Evaluation!BF57</f>
        <v>0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>
      <c r="A60" s="50">
        <v>51</v>
      </c>
      <c r="B60" s="41">
        <f>'Course Information'!D74</f>
        <v>0</v>
      </c>
      <c r="C60" s="8">
        <f>'Course Information'!B74</f>
        <v>0</v>
      </c>
      <c r="D60" s="36">
        <f>Evaluation!N58</f>
        <v>0</v>
      </c>
      <c r="E60" s="36">
        <f>Evaluation!AF58</f>
        <v>0</v>
      </c>
      <c r="F60" s="41"/>
      <c r="G60" s="36">
        <f>Evaluation!T58</f>
        <v>0</v>
      </c>
      <c r="H60" s="36">
        <f>Evaluation!AL58</f>
        <v>0</v>
      </c>
      <c r="I60" s="41"/>
      <c r="J60" s="41"/>
      <c r="K60" s="51">
        <f>Evaluation!BF58</f>
        <v>0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>
      <c r="A61" s="50">
        <v>52</v>
      </c>
      <c r="B61" s="41">
        <f>'Course Information'!D75</f>
        <v>0</v>
      </c>
      <c r="C61" s="8">
        <f>'Course Information'!B75</f>
        <v>0</v>
      </c>
      <c r="D61" s="36">
        <f>Evaluation!N59</f>
        <v>0</v>
      </c>
      <c r="E61" s="36">
        <f>Evaluation!AF59</f>
        <v>0</v>
      </c>
      <c r="F61" s="41"/>
      <c r="G61" s="36">
        <f>Evaluation!T59</f>
        <v>0</v>
      </c>
      <c r="H61" s="36">
        <f>Evaluation!AL59</f>
        <v>0</v>
      </c>
      <c r="I61" s="41"/>
      <c r="J61" s="41"/>
      <c r="K61" s="51">
        <f>Evaluation!BF59</f>
        <v>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>
      <c r="A62" s="50">
        <v>53</v>
      </c>
      <c r="B62" s="41">
        <f>'Course Information'!D76</f>
        <v>0</v>
      </c>
      <c r="C62" s="8">
        <f>'Course Information'!B76</f>
        <v>0</v>
      </c>
      <c r="D62" s="36">
        <f>Evaluation!N60</f>
        <v>0</v>
      </c>
      <c r="E62" s="36">
        <f>Evaluation!AF60</f>
        <v>0</v>
      </c>
      <c r="F62" s="41"/>
      <c r="G62" s="36">
        <f>Evaluation!T60</f>
        <v>0</v>
      </c>
      <c r="H62" s="36">
        <f>Evaluation!AL60</f>
        <v>0</v>
      </c>
      <c r="I62" s="41"/>
      <c r="J62" s="41"/>
      <c r="K62" s="51">
        <f>Evaluation!BF60</f>
        <v>0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>
      <c r="A63" s="50">
        <v>54</v>
      </c>
      <c r="B63" s="41">
        <f>'Course Information'!D77</f>
        <v>0</v>
      </c>
      <c r="C63" s="8">
        <f>'Course Information'!B77</f>
        <v>0</v>
      </c>
      <c r="D63" s="36">
        <f>Evaluation!N61</f>
        <v>0</v>
      </c>
      <c r="E63" s="36">
        <f>Evaluation!AF61</f>
        <v>0</v>
      </c>
      <c r="F63" s="41"/>
      <c r="G63" s="36">
        <f>Evaluation!T61</f>
        <v>0</v>
      </c>
      <c r="H63" s="36">
        <f>Evaluation!AL61</f>
        <v>0</v>
      </c>
      <c r="I63" s="41"/>
      <c r="J63" s="41"/>
      <c r="K63" s="51">
        <f>Evaluation!BF61</f>
        <v>0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>
      <c r="A64" s="50">
        <v>55</v>
      </c>
      <c r="B64" s="41">
        <f>'Course Information'!D78</f>
        <v>0</v>
      </c>
      <c r="C64" s="8">
        <f>'Course Information'!B78</f>
        <v>0</v>
      </c>
      <c r="D64" s="36">
        <f>Evaluation!N62</f>
        <v>0</v>
      </c>
      <c r="E64" s="36">
        <f>Evaluation!AF62</f>
        <v>0</v>
      </c>
      <c r="F64" s="41"/>
      <c r="G64" s="36">
        <f>Evaluation!T62</f>
        <v>0</v>
      </c>
      <c r="H64" s="36">
        <f>Evaluation!AL62</f>
        <v>0</v>
      </c>
      <c r="I64" s="41"/>
      <c r="J64" s="41"/>
      <c r="K64" s="51">
        <f>Evaluation!BF62</f>
        <v>0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>
      <c r="A65" s="50">
        <v>56</v>
      </c>
      <c r="B65" s="41">
        <f>'Course Information'!D79</f>
        <v>0</v>
      </c>
      <c r="C65" s="8">
        <f>'Course Information'!B79</f>
        <v>0</v>
      </c>
      <c r="D65" s="36">
        <f>Evaluation!N63</f>
        <v>0</v>
      </c>
      <c r="E65" s="36">
        <f>Evaluation!AF63</f>
        <v>0</v>
      </c>
      <c r="F65" s="41"/>
      <c r="G65" s="36">
        <f>Evaluation!T63</f>
        <v>0</v>
      </c>
      <c r="H65" s="36">
        <f>Evaluation!AL63</f>
        <v>0</v>
      </c>
      <c r="I65" s="41"/>
      <c r="J65" s="41"/>
      <c r="K65" s="51">
        <f>Evaluation!BF63</f>
        <v>0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>
      <c r="A66" s="50">
        <v>57</v>
      </c>
      <c r="B66" s="41">
        <f>'Course Information'!D80</f>
        <v>0</v>
      </c>
      <c r="C66" s="8">
        <f>'Course Information'!B80</f>
        <v>0</v>
      </c>
      <c r="D66" s="36">
        <f>Evaluation!N64</f>
        <v>0</v>
      </c>
      <c r="E66" s="36">
        <f>Evaluation!AF64</f>
        <v>0</v>
      </c>
      <c r="F66" s="41"/>
      <c r="G66" s="36">
        <f>Evaluation!T64</f>
        <v>0</v>
      </c>
      <c r="H66" s="36">
        <f>Evaluation!AL64</f>
        <v>0</v>
      </c>
      <c r="I66" s="41"/>
      <c r="J66" s="41"/>
      <c r="K66" s="51">
        <f>Evaluation!BF64</f>
        <v>0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>
      <c r="A67" s="50">
        <v>58</v>
      </c>
      <c r="B67" s="41">
        <f>'Course Information'!D81</f>
        <v>0</v>
      </c>
      <c r="C67" s="8">
        <f>'Course Information'!B81</f>
        <v>0</v>
      </c>
      <c r="D67" s="36">
        <f>Evaluation!N65</f>
        <v>0</v>
      </c>
      <c r="E67" s="36">
        <f>Evaluation!AF65</f>
        <v>0</v>
      </c>
      <c r="F67" s="41"/>
      <c r="G67" s="36">
        <f>Evaluation!T65</f>
        <v>0</v>
      </c>
      <c r="H67" s="36">
        <f>Evaluation!AL65</f>
        <v>0</v>
      </c>
      <c r="I67" s="41"/>
      <c r="J67" s="41"/>
      <c r="K67" s="51">
        <f>Evaluation!BF65</f>
        <v>0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>
      <c r="A68" s="50">
        <v>59</v>
      </c>
      <c r="B68" s="41">
        <f>'Course Information'!D82</f>
        <v>0</v>
      </c>
      <c r="C68" s="8">
        <f>'Course Information'!B82</f>
        <v>0</v>
      </c>
      <c r="D68" s="36">
        <f>Evaluation!N66</f>
        <v>0</v>
      </c>
      <c r="E68" s="36">
        <f>Evaluation!AF66</f>
        <v>0</v>
      </c>
      <c r="F68" s="41"/>
      <c r="G68" s="36">
        <f>Evaluation!T66</f>
        <v>0</v>
      </c>
      <c r="H68" s="36">
        <f>Evaluation!AL66</f>
        <v>0</v>
      </c>
      <c r="I68" s="41"/>
      <c r="J68" s="41"/>
      <c r="K68" s="51">
        <f>Evaluation!BF66</f>
        <v>0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>
      <c r="A69" s="50">
        <v>60</v>
      </c>
      <c r="B69" s="41">
        <f>'Course Information'!D83</f>
        <v>0</v>
      </c>
      <c r="C69" s="8">
        <f>'Course Information'!B83</f>
        <v>0</v>
      </c>
      <c r="D69" s="36">
        <f>Evaluation!N67</f>
        <v>0</v>
      </c>
      <c r="E69" s="36">
        <f>Evaluation!AF67</f>
        <v>0</v>
      </c>
      <c r="F69" s="41"/>
      <c r="G69" s="36">
        <f>Evaluation!T67</f>
        <v>0</v>
      </c>
      <c r="H69" s="36">
        <f>Evaluation!AL67</f>
        <v>0</v>
      </c>
      <c r="I69" s="41"/>
      <c r="J69" s="41"/>
      <c r="K69" s="51">
        <f>Evaluation!BF67</f>
        <v>0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>
      <c r="A70" s="50">
        <v>61</v>
      </c>
      <c r="B70" s="41">
        <f>'Course Information'!D84</f>
        <v>0</v>
      </c>
      <c r="C70" s="8">
        <f>'Course Information'!B84</f>
        <v>0</v>
      </c>
      <c r="D70" s="36">
        <f>Evaluation!N68</f>
        <v>0</v>
      </c>
      <c r="E70" s="36">
        <f>Evaluation!AF68</f>
        <v>0</v>
      </c>
      <c r="F70" s="41"/>
      <c r="G70" s="36">
        <f>Evaluation!T68</f>
        <v>0</v>
      </c>
      <c r="H70" s="36">
        <f>Evaluation!AL68</f>
        <v>0</v>
      </c>
      <c r="I70" s="41"/>
      <c r="J70" s="41"/>
      <c r="K70" s="51">
        <f>Evaluation!BF68</f>
        <v>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>
      <c r="A71" s="50">
        <v>62</v>
      </c>
      <c r="B71" s="41">
        <f>'Course Information'!D85</f>
        <v>0</v>
      </c>
      <c r="C71" s="8">
        <f>'Course Information'!B85</f>
        <v>0</v>
      </c>
      <c r="D71" s="36">
        <f>Evaluation!N69</f>
        <v>0</v>
      </c>
      <c r="E71" s="36">
        <f>Evaluation!AF69</f>
        <v>0</v>
      </c>
      <c r="F71" s="41"/>
      <c r="G71" s="36">
        <f>Evaluation!T69</f>
        <v>0</v>
      </c>
      <c r="H71" s="36">
        <f>Evaluation!AL69</f>
        <v>0</v>
      </c>
      <c r="I71" s="41"/>
      <c r="J71" s="41"/>
      <c r="K71" s="51">
        <f>Evaluation!BF69</f>
        <v>0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>
      <c r="A72" s="50">
        <v>63</v>
      </c>
      <c r="B72" s="41">
        <f>'Course Information'!D86</f>
        <v>0</v>
      </c>
      <c r="C72" s="8">
        <f>'Course Information'!B86</f>
        <v>0</v>
      </c>
      <c r="D72" s="36">
        <f>Evaluation!N70</f>
        <v>0</v>
      </c>
      <c r="E72" s="36">
        <f>Evaluation!AF70</f>
        <v>0</v>
      </c>
      <c r="F72" s="41"/>
      <c r="G72" s="36">
        <f>Evaluation!T70</f>
        <v>0</v>
      </c>
      <c r="H72" s="36">
        <f>Evaluation!AL70</f>
        <v>0</v>
      </c>
      <c r="I72" s="41"/>
      <c r="J72" s="41"/>
      <c r="K72" s="51">
        <f>Evaluation!BF70</f>
        <v>0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>
      <c r="A73" s="50">
        <v>64</v>
      </c>
      <c r="B73" s="41">
        <f>'Course Information'!D87</f>
        <v>0</v>
      </c>
      <c r="C73" s="8">
        <f>'Course Information'!B87</f>
        <v>0</v>
      </c>
      <c r="D73" s="36">
        <f>Evaluation!N71</f>
        <v>0</v>
      </c>
      <c r="E73" s="36">
        <f>Evaluation!AF71</f>
        <v>0</v>
      </c>
      <c r="F73" s="41"/>
      <c r="G73" s="36">
        <f>Evaluation!T71</f>
        <v>0</v>
      </c>
      <c r="H73" s="36">
        <f>Evaluation!AL71</f>
        <v>0</v>
      </c>
      <c r="I73" s="41"/>
      <c r="J73" s="41"/>
      <c r="K73" s="51">
        <f>Evaluation!BF71</f>
        <v>0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>
      <c r="A74" s="50">
        <v>65</v>
      </c>
      <c r="B74" s="41">
        <f>'Course Information'!D88</f>
        <v>0</v>
      </c>
      <c r="C74" s="8">
        <f>'Course Information'!B88</f>
        <v>0</v>
      </c>
      <c r="D74" s="36">
        <f>Evaluation!N72</f>
        <v>0</v>
      </c>
      <c r="E74" s="36">
        <f>Evaluation!AF72</f>
        <v>0</v>
      </c>
      <c r="F74" s="41"/>
      <c r="G74" s="36">
        <f>Evaluation!T72</f>
        <v>0</v>
      </c>
      <c r="H74" s="36">
        <f>Evaluation!AL72</f>
        <v>0</v>
      </c>
      <c r="I74" s="41"/>
      <c r="J74" s="41"/>
      <c r="K74" s="51">
        <f>Evaluation!BF72</f>
        <v>0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>
      <c r="A75" s="50">
        <v>66</v>
      </c>
      <c r="B75" s="41">
        <f>'Course Information'!D89</f>
        <v>0</v>
      </c>
      <c r="C75" s="8">
        <f>'Course Information'!B89</f>
        <v>0</v>
      </c>
      <c r="D75" s="36">
        <f>Evaluation!N73</f>
        <v>0</v>
      </c>
      <c r="E75" s="36">
        <f>Evaluation!AF73</f>
        <v>0</v>
      </c>
      <c r="F75" s="41"/>
      <c r="G75" s="36">
        <f>Evaluation!T73</f>
        <v>0</v>
      </c>
      <c r="H75" s="36">
        <f>Evaluation!AL73</f>
        <v>0</v>
      </c>
      <c r="I75" s="41"/>
      <c r="J75" s="41"/>
      <c r="K75" s="51">
        <f>Evaluation!BF73</f>
        <v>0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>
      <c r="A76" s="50">
        <v>67</v>
      </c>
      <c r="B76" s="41">
        <f>'Course Information'!D90</f>
        <v>0</v>
      </c>
      <c r="C76" s="8">
        <f>'Course Information'!B90</f>
        <v>0</v>
      </c>
      <c r="D76" s="36">
        <f>Evaluation!N74</f>
        <v>0</v>
      </c>
      <c r="E76" s="36">
        <f>Evaluation!AF74</f>
        <v>0</v>
      </c>
      <c r="F76" s="41"/>
      <c r="G76" s="36">
        <f>Evaluation!T74</f>
        <v>0</v>
      </c>
      <c r="H76" s="36">
        <f>Evaluation!AL74</f>
        <v>0</v>
      </c>
      <c r="I76" s="41"/>
      <c r="J76" s="41"/>
      <c r="K76" s="51">
        <f>Evaluation!BF74</f>
        <v>0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>
      <c r="A77" s="207"/>
      <c r="B77" s="128"/>
      <c r="C77" s="128"/>
      <c r="D77" s="128"/>
      <c r="E77" s="128"/>
      <c r="F77" s="128"/>
      <c r="G77" s="128"/>
      <c r="H77" s="128"/>
      <c r="I77" s="126"/>
      <c r="J77" s="41"/>
      <c r="K77" s="4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>
      <c r="A78" s="205" t="s">
        <v>154</v>
      </c>
      <c r="B78" s="128"/>
      <c r="C78" s="128"/>
      <c r="D78" s="128"/>
      <c r="E78" s="128"/>
      <c r="F78" s="128"/>
      <c r="G78" s="128"/>
      <c r="H78" s="128"/>
      <c r="I78" s="126"/>
      <c r="J78" s="41"/>
      <c r="K78" s="4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>
      <c r="A79" s="205" t="s">
        <v>155</v>
      </c>
      <c r="B79" s="128"/>
      <c r="C79" s="128"/>
      <c r="D79" s="128"/>
      <c r="E79" s="128"/>
      <c r="F79" s="128"/>
      <c r="G79" s="128"/>
      <c r="H79" s="128"/>
      <c r="I79" s="126"/>
      <c r="J79" s="41"/>
      <c r="K79" s="4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>
      <c r="A83" s="206" t="s">
        <v>156</v>
      </c>
      <c r="B83" s="144"/>
      <c r="C83" s="144"/>
      <c r="D83" s="144"/>
      <c r="E83" s="31"/>
      <c r="F83" s="206" t="s">
        <v>157</v>
      </c>
      <c r="G83" s="144"/>
      <c r="H83" s="144"/>
      <c r="I83" s="144"/>
      <c r="J83" s="144"/>
      <c r="K83" s="144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>
      <c r="A84" s="206" t="s">
        <v>158</v>
      </c>
      <c r="B84" s="144"/>
      <c r="C84" s="144"/>
      <c r="D84" s="144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spans="1:26" ht="15.75" customHeight="1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spans="1:26" ht="15.75" customHeight="1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spans="1:26" ht="15.75" customHeight="1">
      <c r="A1047" s="31"/>
      <c r="B1047" s="31"/>
      <c r="C1047" s="41" t="str">
        <f ca="1">IFERROR(__xludf.DUMMYFUNCTION("IMPORTRANGE(""https://docs.google.com/spreadsheets/d/100SUI2T68D_gTbJNbbofFQQ3SxlpiPS6ANKvacMBnR0/edit?gid=1438031345#gid=1438031345"",""Course Information!B24"")"),"#REF!")</f>
        <v>#REF!</v>
      </c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</sheetData>
  <mergeCells count="24">
    <mergeCell ref="C6:F6"/>
    <mergeCell ref="H6:I6"/>
    <mergeCell ref="A1:K1"/>
    <mergeCell ref="A2:K2"/>
    <mergeCell ref="A3:K3"/>
    <mergeCell ref="A4:K4"/>
    <mergeCell ref="A5:B5"/>
    <mergeCell ref="C5:K5"/>
    <mergeCell ref="A6:B6"/>
    <mergeCell ref="A83:D83"/>
    <mergeCell ref="F83:K83"/>
    <mergeCell ref="A84:D84"/>
    <mergeCell ref="A7:B7"/>
    <mergeCell ref="C7:F7"/>
    <mergeCell ref="H7:I7"/>
    <mergeCell ref="A8:B8"/>
    <mergeCell ref="C8:D8"/>
    <mergeCell ref="E8:F8"/>
    <mergeCell ref="G8:H8"/>
    <mergeCell ref="J7:K7"/>
    <mergeCell ref="J8:K8"/>
    <mergeCell ref="A77:I77"/>
    <mergeCell ref="A78:I78"/>
    <mergeCell ref="A79:I79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opLeftCell="A16" workbookViewId="0">
      <selection activeCell="O19" sqref="O19"/>
    </sheetView>
  </sheetViews>
  <sheetFormatPr defaultColWidth="14.42578125" defaultRowHeight="15" customHeight="1"/>
  <cols>
    <col min="1" max="1" width="14.42578125" customWidth="1"/>
    <col min="2" max="12" width="9.42578125" customWidth="1"/>
  </cols>
  <sheetData>
    <row r="1" spans="1:26">
      <c r="A1" s="217" t="s">
        <v>99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38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218" t="s">
        <v>100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2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131" t="s">
        <v>159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6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184" t="s">
        <v>407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6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15" t="s">
        <v>101</v>
      </c>
      <c r="B5" s="126"/>
      <c r="C5" s="219" t="str">
        <f>'Course Information'!$F$5</f>
        <v>2026-27</v>
      </c>
      <c r="D5" s="220"/>
      <c r="E5" s="220"/>
      <c r="F5" s="220"/>
      <c r="G5" s="220"/>
      <c r="H5" s="221"/>
      <c r="I5" s="215" t="s">
        <v>102</v>
      </c>
      <c r="J5" s="126"/>
      <c r="K5" s="222" t="str">
        <f>'Course Information'!N5</f>
        <v>III</v>
      </c>
      <c r="L5" s="2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15" t="s">
        <v>125</v>
      </c>
      <c r="B6" s="126"/>
      <c r="C6" s="224" t="s">
        <v>409</v>
      </c>
      <c r="D6" s="225"/>
      <c r="E6" s="225"/>
      <c r="F6" s="225"/>
      <c r="G6" s="225"/>
      <c r="H6" s="226"/>
      <c r="I6" s="215" t="s">
        <v>106</v>
      </c>
      <c r="J6" s="126"/>
      <c r="K6" s="219" t="s">
        <v>408</v>
      </c>
      <c r="L6" s="220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16" t="s">
        <v>107</v>
      </c>
      <c r="B7" s="126"/>
      <c r="C7" s="219" t="str">
        <f>'Course Information'!$F$8</f>
        <v>Thara K L</v>
      </c>
      <c r="D7" s="220"/>
      <c r="E7" s="220"/>
      <c r="F7" s="220"/>
      <c r="G7" s="220"/>
      <c r="H7" s="221"/>
      <c r="I7" s="215" t="s">
        <v>131</v>
      </c>
      <c r="J7" s="126"/>
      <c r="K7" s="211"/>
      <c r="L7" s="126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13" t="s">
        <v>161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38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6.25" customHeight="1">
      <c r="A9" s="116" t="s">
        <v>162</v>
      </c>
      <c r="B9" s="212" t="s">
        <v>423</v>
      </c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6.25" customHeight="1">
      <c r="A10" s="15" t="s">
        <v>163</v>
      </c>
      <c r="B10" s="212" t="s">
        <v>424</v>
      </c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6.25" customHeight="1">
      <c r="A11" s="15" t="s">
        <v>164</v>
      </c>
      <c r="B11" s="212" t="s">
        <v>425</v>
      </c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6.25" customHeight="1">
      <c r="A12" s="15" t="s">
        <v>165</v>
      </c>
      <c r="B12" s="212" t="s">
        <v>426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6.25" customHeight="1">
      <c r="A13" s="15" t="s">
        <v>166</v>
      </c>
      <c r="B13" s="212" t="s">
        <v>427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3"/>
      <c r="N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6.25" customHeight="1">
      <c r="A14" s="213" t="s">
        <v>168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6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6.25" customHeight="1">
      <c r="A15" s="59"/>
      <c r="B15" s="60" t="s">
        <v>37</v>
      </c>
      <c r="C15" s="60" t="s">
        <v>38</v>
      </c>
      <c r="D15" s="60" t="s">
        <v>39</v>
      </c>
      <c r="E15" s="60" t="s">
        <v>40</v>
      </c>
      <c r="F15" s="60" t="s">
        <v>41</v>
      </c>
      <c r="G15" s="60" t="s">
        <v>42</v>
      </c>
      <c r="H15" s="60" t="s">
        <v>43</v>
      </c>
      <c r="I15" s="60" t="s">
        <v>44</v>
      </c>
      <c r="J15" s="60" t="s">
        <v>45</v>
      </c>
      <c r="K15" s="60" t="s">
        <v>46</v>
      </c>
      <c r="L15" s="60" t="s">
        <v>47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6.25" customHeight="1">
      <c r="A16" s="15" t="s">
        <v>162</v>
      </c>
      <c r="B16" s="61">
        <f>'Course Information'!$C$13</f>
        <v>0</v>
      </c>
      <c r="C16" s="61">
        <v>3</v>
      </c>
      <c r="D16" s="61">
        <f>'Course Information'!$E$13</f>
        <v>0</v>
      </c>
      <c r="E16" s="61">
        <f>'Course Information'!$F$13</f>
        <v>0</v>
      </c>
      <c r="F16" s="61">
        <v>3</v>
      </c>
      <c r="G16" s="61">
        <f>'Course Information'!$H$13</f>
        <v>0</v>
      </c>
      <c r="H16" s="61">
        <f>'Course Information'!$I$13</f>
        <v>0</v>
      </c>
      <c r="I16" s="61">
        <f>'Course Information'!$J$13</f>
        <v>0</v>
      </c>
      <c r="J16" s="61">
        <f>'Course Information'!$K$13</f>
        <v>0</v>
      </c>
      <c r="K16" s="61">
        <f>'Course Information'!$L$13</f>
        <v>0</v>
      </c>
      <c r="L16" s="61">
        <f>'Course Information'!$M$13</f>
        <v>0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6.25" customHeight="1">
      <c r="A17" s="15" t="s">
        <v>163</v>
      </c>
      <c r="B17" s="61">
        <f>'Course Information'!$C$14</f>
        <v>0</v>
      </c>
      <c r="C17" s="61">
        <v>3</v>
      </c>
      <c r="D17" s="61">
        <f>'Course Information'!$E$14</f>
        <v>0</v>
      </c>
      <c r="E17" s="61">
        <f>'Course Information'!$F$14</f>
        <v>0</v>
      </c>
      <c r="F17" s="61">
        <v>3</v>
      </c>
      <c r="G17" s="61">
        <f>'Course Information'!$H$14</f>
        <v>0</v>
      </c>
      <c r="H17" s="61">
        <f>'Course Information'!$I$14</f>
        <v>0</v>
      </c>
      <c r="I17" s="61">
        <f>'Course Information'!$J$14</f>
        <v>0</v>
      </c>
      <c r="J17" s="61">
        <v>3</v>
      </c>
      <c r="K17" s="61">
        <f>'Course Information'!$L$14</f>
        <v>0</v>
      </c>
      <c r="L17" s="61">
        <f>'Course Information'!$M$14</f>
        <v>0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6.25" customHeight="1">
      <c r="A18" s="15" t="s">
        <v>164</v>
      </c>
      <c r="B18" s="61">
        <f>'Course Information'!$C$115</f>
        <v>0</v>
      </c>
      <c r="C18" s="61">
        <f>'Course Information'!$D$15</f>
        <v>0</v>
      </c>
      <c r="D18" s="61">
        <f>'Course Information'!$E$15</f>
        <v>0</v>
      </c>
      <c r="E18" s="61">
        <f>'Course Information'!$F$15</f>
        <v>0</v>
      </c>
      <c r="F18" s="61">
        <v>3</v>
      </c>
      <c r="G18" s="61">
        <f>'Course Information'!$H$15</f>
        <v>0</v>
      </c>
      <c r="H18" s="61">
        <f>'Course Information'!$I$15</f>
        <v>0</v>
      </c>
      <c r="I18" s="61">
        <f>'Course Information'!$J$15</f>
        <v>0</v>
      </c>
      <c r="J18" s="61">
        <v>3</v>
      </c>
      <c r="K18" s="61">
        <f>'Course Information'!$L$15</f>
        <v>0</v>
      </c>
      <c r="L18" s="61">
        <f>'Course Information'!$M$15</f>
        <v>0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6.25" customHeight="1">
      <c r="A19" s="15" t="s">
        <v>165</v>
      </c>
      <c r="B19" s="61">
        <f>'Course Information'!$C$116</f>
        <v>0</v>
      </c>
      <c r="C19" s="61">
        <v>3</v>
      </c>
      <c r="D19" s="61">
        <f>'Course Information'!$E$16</f>
        <v>0</v>
      </c>
      <c r="E19" s="61">
        <f>'Course Information'!$F$16</f>
        <v>0</v>
      </c>
      <c r="F19" s="61">
        <v>3</v>
      </c>
      <c r="G19" s="61">
        <f>'Course Information'!$H$16</f>
        <v>0</v>
      </c>
      <c r="H19" s="61">
        <f>'Course Information'!$I$16</f>
        <v>0</v>
      </c>
      <c r="I19" s="61">
        <f>'Course Information'!$J$16</f>
        <v>0</v>
      </c>
      <c r="J19" s="61">
        <f>'Course Information'!$K$16</f>
        <v>0</v>
      </c>
      <c r="K19" s="61">
        <f>'Course Information'!$L$16</f>
        <v>0</v>
      </c>
      <c r="L19" s="61">
        <f>'Course Information'!$M$16</f>
        <v>0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6.25" customHeight="1">
      <c r="A20" s="15" t="s">
        <v>166</v>
      </c>
      <c r="B20" s="61">
        <f>'Course Information'!$C$17</f>
        <v>0</v>
      </c>
      <c r="C20" s="61">
        <v>3</v>
      </c>
      <c r="D20" s="61">
        <f>'Course Information'!$E$17</f>
        <v>0</v>
      </c>
      <c r="E20" s="61">
        <f>'Course Information'!$F$17</f>
        <v>0</v>
      </c>
      <c r="F20" s="61">
        <v>3</v>
      </c>
      <c r="G20" s="61">
        <f>'Course Information'!$H$17</f>
        <v>0</v>
      </c>
      <c r="H20" s="61">
        <f>'Course Information'!$I$17</f>
        <v>0</v>
      </c>
      <c r="I20" s="61">
        <f>'Course Information'!$J$17</f>
        <v>0</v>
      </c>
      <c r="J20" s="61">
        <f>'Course Information'!$K$17</f>
        <v>0</v>
      </c>
      <c r="K20" s="61">
        <f>'Course Information'!$L$17</f>
        <v>0</v>
      </c>
      <c r="L20" s="61">
        <f>'Course Information'!$M$17</f>
        <v>0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6.25" customHeight="1">
      <c r="A21" s="62" t="s">
        <v>52</v>
      </c>
      <c r="B21" s="63" t="str">
        <f>'Course Information'!$C$19</f>
        <v>NA</v>
      </c>
      <c r="C21" s="64">
        <v>3</v>
      </c>
      <c r="D21" s="64" t="str">
        <f>'Course Information'!$E$19</f>
        <v>NA</v>
      </c>
      <c r="E21" s="64" t="str">
        <f>'Course Information'!$F$19</f>
        <v>NA</v>
      </c>
      <c r="F21" s="64">
        <v>3</v>
      </c>
      <c r="G21" s="64" t="str">
        <f>'Course Information'!$H$19</f>
        <v>NA</v>
      </c>
      <c r="H21" s="64" t="str">
        <f>'Course Information'!$I$19</f>
        <v>NA</v>
      </c>
      <c r="I21" s="64" t="str">
        <f>'Course Information'!$J$19</f>
        <v>NA</v>
      </c>
      <c r="J21" s="64">
        <v>3</v>
      </c>
      <c r="K21" s="64" t="str">
        <f>'Course Information'!$L$19</f>
        <v>NA</v>
      </c>
      <c r="L21" s="64" t="str">
        <f>'Course Information'!$M$19</f>
        <v>NA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6.25" customHeight="1">
      <c r="A22" s="213" t="s">
        <v>173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6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6.25" customHeight="1">
      <c r="A23" s="59"/>
      <c r="B23" s="214" t="s">
        <v>48</v>
      </c>
      <c r="C23" s="145"/>
      <c r="D23" s="145"/>
      <c r="E23" s="142"/>
      <c r="F23" s="214" t="s">
        <v>49</v>
      </c>
      <c r="G23" s="145"/>
      <c r="H23" s="145"/>
      <c r="I23" s="145"/>
      <c r="J23" s="214" t="s">
        <v>50</v>
      </c>
      <c r="K23" s="145"/>
      <c r="L23" s="142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6.25" customHeight="1">
      <c r="A24" s="15" t="s">
        <v>162</v>
      </c>
      <c r="B24" s="211">
        <v>3</v>
      </c>
      <c r="C24" s="128"/>
      <c r="D24" s="128"/>
      <c r="E24" s="126"/>
      <c r="F24" s="211">
        <f>'Course Information'!$P$13</f>
        <v>0</v>
      </c>
      <c r="G24" s="128"/>
      <c r="H24" s="128"/>
      <c r="I24" s="126"/>
      <c r="J24" s="211">
        <v>3</v>
      </c>
      <c r="K24" s="128"/>
      <c r="L24" s="126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6.25" customHeight="1">
      <c r="A25" s="15" t="s">
        <v>163</v>
      </c>
      <c r="B25" s="211">
        <v>3</v>
      </c>
      <c r="C25" s="128"/>
      <c r="D25" s="128"/>
      <c r="E25" s="126"/>
      <c r="F25" s="211">
        <f>'Course Information'!$P$14</f>
        <v>0</v>
      </c>
      <c r="G25" s="128"/>
      <c r="H25" s="128"/>
      <c r="I25" s="126"/>
      <c r="J25" s="211">
        <v>3</v>
      </c>
      <c r="K25" s="128"/>
      <c r="L25" s="126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6.25" customHeight="1">
      <c r="A26" s="15" t="s">
        <v>164</v>
      </c>
      <c r="B26" s="211">
        <v>3</v>
      </c>
      <c r="C26" s="128"/>
      <c r="D26" s="128"/>
      <c r="E26" s="126"/>
      <c r="F26" s="211">
        <f>'Course Information'!$P$15</f>
        <v>0</v>
      </c>
      <c r="G26" s="128"/>
      <c r="H26" s="128"/>
      <c r="I26" s="126"/>
      <c r="J26" s="211">
        <v>3</v>
      </c>
      <c r="K26" s="128"/>
      <c r="L26" s="126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6.25" customHeight="1">
      <c r="A27" s="15" t="s">
        <v>165</v>
      </c>
      <c r="B27" s="211">
        <v>3</v>
      </c>
      <c r="C27" s="128"/>
      <c r="D27" s="128"/>
      <c r="E27" s="126"/>
      <c r="F27" s="211">
        <f>'Course Information'!$P$16</f>
        <v>0</v>
      </c>
      <c r="G27" s="128"/>
      <c r="H27" s="128"/>
      <c r="I27" s="126"/>
      <c r="J27" s="211">
        <v>3</v>
      </c>
      <c r="K27" s="128"/>
      <c r="L27" s="126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6.25" customHeight="1">
      <c r="A28" s="15" t="s">
        <v>166</v>
      </c>
      <c r="B28" s="211">
        <v>3</v>
      </c>
      <c r="C28" s="128"/>
      <c r="D28" s="128"/>
      <c r="E28" s="126"/>
      <c r="F28" s="211">
        <f>'Course Information'!$P$17</f>
        <v>0</v>
      </c>
      <c r="G28" s="128"/>
      <c r="H28" s="128"/>
      <c r="I28" s="126"/>
      <c r="J28" s="211">
        <v>3</v>
      </c>
      <c r="K28" s="128"/>
      <c r="L28" s="126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6.25" customHeight="1">
      <c r="A29" s="65" t="s">
        <v>52</v>
      </c>
      <c r="B29" s="227">
        <v>3</v>
      </c>
      <c r="C29" s="128"/>
      <c r="D29" s="128"/>
      <c r="E29" s="126"/>
      <c r="F29" s="227" t="str">
        <f>'Course Information'!$P$19</f>
        <v>NA</v>
      </c>
      <c r="G29" s="128"/>
      <c r="H29" s="128"/>
      <c r="I29" s="126"/>
      <c r="J29" s="227">
        <v>3</v>
      </c>
      <c r="K29" s="128"/>
      <c r="L29" s="126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198" t="s">
        <v>171</v>
      </c>
      <c r="B32" s="144"/>
      <c r="C32" s="144"/>
      <c r="D32" s="144"/>
      <c r="E32" s="144"/>
      <c r="F32" s="23"/>
      <c r="G32" s="23"/>
      <c r="H32" s="198" t="s">
        <v>157</v>
      </c>
      <c r="I32" s="144"/>
      <c r="J32" s="144"/>
      <c r="K32" s="144"/>
      <c r="L32" s="144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28"/>
      <c r="B33" s="144"/>
      <c r="C33" s="144"/>
      <c r="D33" s="144"/>
      <c r="E33" s="144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8">
    <mergeCell ref="F29:I29"/>
    <mergeCell ref="J29:L29"/>
    <mergeCell ref="A32:E32"/>
    <mergeCell ref="H32:L32"/>
    <mergeCell ref="A33:E33"/>
    <mergeCell ref="B29:E29"/>
    <mergeCell ref="B28:E28"/>
    <mergeCell ref="F28:I28"/>
    <mergeCell ref="J28:L28"/>
    <mergeCell ref="A5:B5"/>
    <mergeCell ref="A6:B6"/>
    <mergeCell ref="A7:B7"/>
    <mergeCell ref="A1:L1"/>
    <mergeCell ref="A2:L2"/>
    <mergeCell ref="A3:L3"/>
    <mergeCell ref="A4:L4"/>
    <mergeCell ref="C5:H5"/>
    <mergeCell ref="I5:J5"/>
    <mergeCell ref="K5:L5"/>
    <mergeCell ref="C6:H6"/>
    <mergeCell ref="I6:J6"/>
    <mergeCell ref="K6:L6"/>
    <mergeCell ref="C7:H7"/>
    <mergeCell ref="I7:J7"/>
    <mergeCell ref="K7:L7"/>
    <mergeCell ref="A8:L8"/>
    <mergeCell ref="B9:L9"/>
    <mergeCell ref="B10:L10"/>
    <mergeCell ref="B11:L11"/>
    <mergeCell ref="B12:L12"/>
    <mergeCell ref="B13:L13"/>
    <mergeCell ref="A14:L14"/>
    <mergeCell ref="A22:L22"/>
    <mergeCell ref="B23:E23"/>
    <mergeCell ref="F23:I23"/>
    <mergeCell ref="J23:L23"/>
    <mergeCell ref="B24:E24"/>
    <mergeCell ref="F24:I24"/>
    <mergeCell ref="J24:L24"/>
    <mergeCell ref="F27:I27"/>
    <mergeCell ref="J27:L27"/>
    <mergeCell ref="B25:E25"/>
    <mergeCell ref="F25:I25"/>
    <mergeCell ref="J25:L25"/>
    <mergeCell ref="B26:E26"/>
    <mergeCell ref="F26:I26"/>
    <mergeCell ref="J26:L26"/>
    <mergeCell ref="B27:E27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3"/>
  <sheetViews>
    <sheetView tabSelected="1" topLeftCell="A28" workbookViewId="0">
      <selection activeCell="P28" sqref="P28"/>
    </sheetView>
  </sheetViews>
  <sheetFormatPr defaultColWidth="14.42578125" defaultRowHeight="15" customHeight="1"/>
  <cols>
    <col min="1" max="1" width="14.42578125" customWidth="1"/>
    <col min="2" max="2" width="10" customWidth="1"/>
    <col min="3" max="3" width="2.7109375" customWidth="1"/>
    <col min="4" max="4" width="14.42578125" customWidth="1"/>
    <col min="5" max="5" width="0.42578125" customWidth="1"/>
    <col min="6" max="6" width="4.85546875" customWidth="1"/>
    <col min="7" max="7" width="4" customWidth="1"/>
    <col min="9" max="9" width="0.42578125" customWidth="1"/>
    <col min="10" max="10" width="16.42578125" customWidth="1"/>
    <col min="11" max="11" width="4.140625" customWidth="1"/>
    <col min="13" max="13" width="0.42578125" customWidth="1"/>
  </cols>
  <sheetData>
    <row r="1" spans="1:26" ht="15.75">
      <c r="A1" s="240" t="s">
        <v>99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38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204" t="s">
        <v>100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191" t="s">
        <v>160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6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188" t="s">
        <v>407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6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02" t="s">
        <v>101</v>
      </c>
      <c r="B5" s="128"/>
      <c r="C5" s="241" t="str">
        <f>'Course Information'!$F$5</f>
        <v>2026-27</v>
      </c>
      <c r="D5" s="128"/>
      <c r="E5" s="128"/>
      <c r="F5" s="128"/>
      <c r="G5" s="128"/>
      <c r="H5" s="126"/>
      <c r="I5" s="202" t="s">
        <v>102</v>
      </c>
      <c r="J5" s="126"/>
      <c r="K5" s="170" t="str">
        <f>'Course Information'!N5</f>
        <v>III</v>
      </c>
      <c r="L5" s="128"/>
      <c r="M5" s="126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02" t="s">
        <v>125</v>
      </c>
      <c r="B6" s="128"/>
      <c r="C6" s="201" t="s">
        <v>409</v>
      </c>
      <c r="D6" s="128"/>
      <c r="E6" s="128"/>
      <c r="F6" s="128"/>
      <c r="G6" s="128"/>
      <c r="H6" s="126"/>
      <c r="I6" s="202" t="s">
        <v>106</v>
      </c>
      <c r="J6" s="126"/>
      <c r="K6" s="201" t="s">
        <v>408</v>
      </c>
      <c r="L6" s="128"/>
      <c r="M6" s="126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9" t="s">
        <v>107</v>
      </c>
      <c r="B7" s="126"/>
      <c r="C7" s="201" t="str">
        <f>'Course Information'!F8</f>
        <v>Thara K L</v>
      </c>
      <c r="D7" s="128"/>
      <c r="E7" s="128"/>
      <c r="F7" s="128"/>
      <c r="G7" s="128"/>
      <c r="H7" s="126"/>
      <c r="I7" s="202" t="s">
        <v>131</v>
      </c>
      <c r="J7" s="126"/>
      <c r="K7" s="201"/>
      <c r="L7" s="128"/>
      <c r="M7" s="126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48" t="s">
        <v>27</v>
      </c>
      <c r="B8" s="237" t="s">
        <v>167</v>
      </c>
      <c r="C8" s="126"/>
      <c r="D8" s="237" t="s">
        <v>169</v>
      </c>
      <c r="E8" s="126"/>
      <c r="F8" s="237" t="s">
        <v>170</v>
      </c>
      <c r="G8" s="128"/>
      <c r="H8" s="128"/>
      <c r="I8" s="128"/>
      <c r="J8" s="128"/>
      <c r="K8" s="128"/>
      <c r="L8" s="128"/>
      <c r="M8" s="126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0" customHeight="1">
      <c r="A9" s="238" t="s">
        <v>162</v>
      </c>
      <c r="B9" s="229" t="s">
        <v>38</v>
      </c>
      <c r="C9" s="230"/>
      <c r="D9" s="229">
        <v>3</v>
      </c>
      <c r="E9" s="230"/>
      <c r="F9" s="234" t="s">
        <v>428</v>
      </c>
      <c r="G9" s="235"/>
      <c r="H9" s="235"/>
      <c r="I9" s="235"/>
      <c r="J9" s="235"/>
      <c r="K9" s="235"/>
      <c r="L9" s="235"/>
      <c r="M9" s="236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8.5" customHeight="1">
      <c r="A10" s="150"/>
      <c r="B10" s="229" t="s">
        <v>41</v>
      </c>
      <c r="C10" s="230"/>
      <c r="D10" s="229">
        <v>3</v>
      </c>
      <c r="E10" s="230"/>
      <c r="F10" s="324" t="s">
        <v>429</v>
      </c>
      <c r="G10" s="325"/>
      <c r="H10" s="325"/>
      <c r="I10" s="325"/>
      <c r="J10" s="325"/>
      <c r="K10" s="325"/>
      <c r="L10" s="325"/>
      <c r="M10" s="326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s="122" customFormat="1" ht="28.5" customHeight="1">
      <c r="A11" s="155"/>
      <c r="B11" s="229" t="s">
        <v>48</v>
      </c>
      <c r="C11" s="230"/>
      <c r="D11" s="124">
        <v>3</v>
      </c>
      <c r="E11" s="322"/>
      <c r="F11" s="327" t="s">
        <v>440</v>
      </c>
      <c r="G11" s="327"/>
      <c r="H11" s="327"/>
      <c r="I11" s="327"/>
      <c r="J11" s="327"/>
      <c r="K11" s="327"/>
      <c r="L11" s="327"/>
      <c r="M11" s="327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ht="30.75" customHeight="1">
      <c r="A12" s="151"/>
      <c r="B12" s="229" t="s">
        <v>50</v>
      </c>
      <c r="C12" s="230"/>
      <c r="D12" s="229">
        <v>3</v>
      </c>
      <c r="E12" s="230"/>
      <c r="F12" s="327" t="s">
        <v>441</v>
      </c>
      <c r="G12" s="327"/>
      <c r="H12" s="327"/>
      <c r="I12" s="327"/>
      <c r="J12" s="327"/>
      <c r="K12" s="327"/>
      <c r="L12" s="327"/>
      <c r="M12" s="327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8.5" customHeight="1">
      <c r="A13" s="231" t="s">
        <v>163</v>
      </c>
      <c r="B13" s="229" t="s">
        <v>38</v>
      </c>
      <c r="C13" s="230"/>
      <c r="D13" s="229">
        <v>3</v>
      </c>
      <c r="E13" s="230"/>
      <c r="F13" s="234" t="s">
        <v>430</v>
      </c>
      <c r="G13" s="235"/>
      <c r="H13" s="235"/>
      <c r="I13" s="235"/>
      <c r="J13" s="235"/>
      <c r="K13" s="235"/>
      <c r="L13" s="235"/>
      <c r="M13" s="236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0.75" customHeight="1">
      <c r="A14" s="232"/>
      <c r="B14" s="229" t="s">
        <v>41</v>
      </c>
      <c r="C14" s="230"/>
      <c r="D14" s="229">
        <v>3</v>
      </c>
      <c r="E14" s="230"/>
      <c r="F14" s="234" t="s">
        <v>431</v>
      </c>
      <c r="G14" s="235"/>
      <c r="H14" s="235"/>
      <c r="I14" s="235"/>
      <c r="J14" s="235"/>
      <c r="K14" s="235"/>
      <c r="L14" s="235"/>
      <c r="M14" s="236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0" customHeight="1">
      <c r="A15" s="232"/>
      <c r="B15" s="229" t="s">
        <v>45</v>
      </c>
      <c r="C15" s="230"/>
      <c r="D15" s="229">
        <v>3</v>
      </c>
      <c r="E15" s="230"/>
      <c r="F15" s="324" t="s">
        <v>432</v>
      </c>
      <c r="G15" s="325"/>
      <c r="H15" s="325"/>
      <c r="I15" s="325"/>
      <c r="J15" s="325"/>
      <c r="K15" s="325"/>
      <c r="L15" s="325"/>
      <c r="M15" s="326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s="122" customFormat="1" ht="30" customHeight="1">
      <c r="A16" s="232"/>
      <c r="B16" s="229" t="s">
        <v>48</v>
      </c>
      <c r="C16" s="230"/>
      <c r="D16" s="124">
        <v>3</v>
      </c>
      <c r="E16" s="322"/>
      <c r="F16" s="327" t="s">
        <v>442</v>
      </c>
      <c r="G16" s="327"/>
      <c r="H16" s="327"/>
      <c r="I16" s="327"/>
      <c r="J16" s="327"/>
      <c r="K16" s="327"/>
      <c r="L16" s="327"/>
      <c r="M16" s="327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s="119" customFormat="1" ht="30" customHeight="1">
      <c r="A17" s="233"/>
      <c r="B17" s="229" t="s">
        <v>50</v>
      </c>
      <c r="C17" s="230"/>
      <c r="D17" s="229">
        <v>3</v>
      </c>
      <c r="E17" s="230"/>
      <c r="F17" s="328" t="s">
        <v>443</v>
      </c>
      <c r="G17" s="329"/>
      <c r="H17" s="329"/>
      <c r="I17" s="329"/>
      <c r="J17" s="329"/>
      <c r="K17" s="329"/>
      <c r="L17" s="329"/>
      <c r="M17" s="33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spans="1:26" ht="28.5" customHeight="1">
      <c r="A18" s="238" t="s">
        <v>164</v>
      </c>
      <c r="B18" s="229" t="s">
        <v>41</v>
      </c>
      <c r="C18" s="230"/>
      <c r="D18" s="229">
        <v>3</v>
      </c>
      <c r="E18" s="230"/>
      <c r="F18" s="234" t="s">
        <v>433</v>
      </c>
      <c r="G18" s="235"/>
      <c r="H18" s="235"/>
      <c r="I18" s="235"/>
      <c r="J18" s="235"/>
      <c r="K18" s="235"/>
      <c r="L18" s="235"/>
      <c r="M18" s="236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30" customHeight="1">
      <c r="A19" s="150"/>
      <c r="B19" s="229" t="s">
        <v>45</v>
      </c>
      <c r="C19" s="230"/>
      <c r="D19" s="229">
        <v>3</v>
      </c>
      <c r="E19" s="230"/>
      <c r="F19" s="324" t="s">
        <v>434</v>
      </c>
      <c r="G19" s="325"/>
      <c r="H19" s="325"/>
      <c r="I19" s="325"/>
      <c r="J19" s="325"/>
      <c r="K19" s="325"/>
      <c r="L19" s="325"/>
      <c r="M19" s="326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s="122" customFormat="1" ht="30" customHeight="1">
      <c r="A20" s="155"/>
      <c r="B20" s="229" t="s">
        <v>48</v>
      </c>
      <c r="C20" s="230"/>
      <c r="D20" s="124">
        <v>3</v>
      </c>
      <c r="E20" s="322"/>
      <c r="F20" s="331" t="s">
        <v>444</v>
      </c>
      <c r="G20" s="332"/>
      <c r="H20" s="332"/>
      <c r="I20" s="332"/>
      <c r="J20" s="332"/>
      <c r="K20" s="332"/>
      <c r="L20" s="332"/>
      <c r="M20" s="33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ht="30.75" customHeight="1">
      <c r="A21" s="151"/>
      <c r="B21" s="229" t="s">
        <v>50</v>
      </c>
      <c r="C21" s="230"/>
      <c r="D21" s="229">
        <v>3</v>
      </c>
      <c r="E21" s="230"/>
      <c r="F21" s="331" t="s">
        <v>445</v>
      </c>
      <c r="G21" s="332"/>
      <c r="H21" s="332"/>
      <c r="I21" s="332"/>
      <c r="J21" s="332"/>
      <c r="K21" s="332"/>
      <c r="L21" s="332"/>
      <c r="M21" s="33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30.75" customHeight="1">
      <c r="A22" s="238" t="s">
        <v>165</v>
      </c>
      <c r="B22" s="229" t="s">
        <v>38</v>
      </c>
      <c r="C22" s="230"/>
      <c r="D22" s="229">
        <v>3</v>
      </c>
      <c r="E22" s="323"/>
      <c r="F22" s="327" t="s">
        <v>435</v>
      </c>
      <c r="G22" s="327"/>
      <c r="H22" s="327"/>
      <c r="I22" s="327"/>
      <c r="J22" s="327"/>
      <c r="K22" s="327"/>
      <c r="L22" s="327"/>
      <c r="M22" s="327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7" customHeight="1">
      <c r="A23" s="150"/>
      <c r="B23" s="229" t="s">
        <v>41</v>
      </c>
      <c r="C23" s="230"/>
      <c r="D23" s="229">
        <v>3</v>
      </c>
      <c r="E23" s="323"/>
      <c r="F23" s="327" t="s">
        <v>436</v>
      </c>
      <c r="G23" s="327"/>
      <c r="H23" s="327"/>
      <c r="I23" s="327"/>
      <c r="J23" s="327"/>
      <c r="K23" s="327"/>
      <c r="L23" s="327"/>
      <c r="M23" s="327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s="122" customFormat="1" ht="30.75" customHeight="1">
      <c r="A24" s="155"/>
      <c r="B24" s="229" t="s">
        <v>48</v>
      </c>
      <c r="C24" s="230"/>
      <c r="D24" s="124">
        <v>3</v>
      </c>
      <c r="E24" s="322"/>
      <c r="F24" s="331" t="s">
        <v>446</v>
      </c>
      <c r="G24" s="332"/>
      <c r="H24" s="332"/>
      <c r="I24" s="332"/>
      <c r="J24" s="332"/>
      <c r="K24" s="332"/>
      <c r="L24" s="332"/>
      <c r="M24" s="33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ht="34.5" customHeight="1">
      <c r="A25" s="151"/>
      <c r="B25" s="229" t="s">
        <v>50</v>
      </c>
      <c r="C25" s="230"/>
      <c r="D25" s="229">
        <v>3</v>
      </c>
      <c r="E25" s="230"/>
      <c r="F25" s="331" t="s">
        <v>447</v>
      </c>
      <c r="G25" s="332"/>
      <c r="H25" s="332"/>
      <c r="I25" s="332"/>
      <c r="J25" s="332"/>
      <c r="K25" s="332"/>
      <c r="L25" s="332"/>
      <c r="M25" s="33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8.5" customHeight="1">
      <c r="A26" s="238" t="s">
        <v>166</v>
      </c>
      <c r="B26" s="229" t="s">
        <v>38</v>
      </c>
      <c r="C26" s="230"/>
      <c r="D26" s="229">
        <v>3</v>
      </c>
      <c r="E26" s="323"/>
      <c r="F26" s="327" t="s">
        <v>437</v>
      </c>
      <c r="G26" s="327"/>
      <c r="H26" s="327"/>
      <c r="I26" s="327"/>
      <c r="J26" s="327"/>
      <c r="K26" s="327"/>
      <c r="L26" s="327"/>
      <c r="M26" s="327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31.5" customHeight="1">
      <c r="A27" s="150"/>
      <c r="B27" s="229" t="s">
        <v>41</v>
      </c>
      <c r="C27" s="230"/>
      <c r="D27" s="229">
        <v>3</v>
      </c>
      <c r="E27" s="323"/>
      <c r="F27" s="327" t="s">
        <v>438</v>
      </c>
      <c r="G27" s="327"/>
      <c r="H27" s="327"/>
      <c r="I27" s="327"/>
      <c r="J27" s="327"/>
      <c r="K27" s="327"/>
      <c r="L27" s="327"/>
      <c r="M27" s="327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s="122" customFormat="1" ht="31.5" customHeight="1">
      <c r="A28" s="155"/>
      <c r="B28" s="229" t="s">
        <v>48</v>
      </c>
      <c r="C28" s="230"/>
      <c r="D28" s="124">
        <v>3</v>
      </c>
      <c r="E28" s="322"/>
      <c r="F28" s="331" t="s">
        <v>448</v>
      </c>
      <c r="G28" s="332"/>
      <c r="H28" s="332"/>
      <c r="I28" s="332"/>
      <c r="J28" s="332"/>
      <c r="K28" s="332"/>
      <c r="L28" s="332"/>
      <c r="M28" s="33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ht="32.25" customHeight="1">
      <c r="A29" s="151"/>
      <c r="B29" s="229" t="s">
        <v>50</v>
      </c>
      <c r="C29" s="230"/>
      <c r="D29" s="229">
        <v>3</v>
      </c>
      <c r="E29" s="230"/>
      <c r="F29" s="331" t="s">
        <v>449</v>
      </c>
      <c r="G29" s="332"/>
      <c r="H29" s="332"/>
      <c r="I29" s="332"/>
      <c r="J29" s="332"/>
      <c r="K29" s="332"/>
      <c r="L29" s="332"/>
      <c r="M29" s="33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198" t="s">
        <v>171</v>
      </c>
      <c r="B33" s="144"/>
      <c r="C33" s="144"/>
      <c r="D33" s="144"/>
      <c r="E33" s="144"/>
      <c r="F33" s="23"/>
      <c r="G33" s="23"/>
      <c r="H33" s="198" t="s">
        <v>172</v>
      </c>
      <c r="I33" s="144"/>
      <c r="J33" s="144"/>
      <c r="K33" s="144"/>
      <c r="L33" s="144"/>
      <c r="M33" s="144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28"/>
      <c r="B34" s="144"/>
      <c r="C34" s="144"/>
      <c r="D34" s="144"/>
      <c r="E34" s="144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5">
    <mergeCell ref="B28:C28"/>
    <mergeCell ref="F28:M28"/>
    <mergeCell ref="F16:M16"/>
    <mergeCell ref="F17:M17"/>
    <mergeCell ref="B20:C20"/>
    <mergeCell ref="F20:M20"/>
    <mergeCell ref="B24:C24"/>
    <mergeCell ref="F24:M24"/>
    <mergeCell ref="D18:E18"/>
    <mergeCell ref="D13:E13"/>
    <mergeCell ref="D14:E14"/>
    <mergeCell ref="D15:E15"/>
    <mergeCell ref="B13:C13"/>
    <mergeCell ref="B14:C14"/>
    <mergeCell ref="B15:C15"/>
    <mergeCell ref="B16:C16"/>
    <mergeCell ref="A33:E33"/>
    <mergeCell ref="A34:E34"/>
    <mergeCell ref="B23:C23"/>
    <mergeCell ref="B25:C25"/>
    <mergeCell ref="A26:A29"/>
    <mergeCell ref="B26:C26"/>
    <mergeCell ref="B27:C27"/>
    <mergeCell ref="B29:C29"/>
    <mergeCell ref="A22:A25"/>
    <mergeCell ref="D29:E29"/>
    <mergeCell ref="D23:E23"/>
    <mergeCell ref="D25:E25"/>
    <mergeCell ref="D26:E26"/>
    <mergeCell ref="D27:E27"/>
    <mergeCell ref="B22:C22"/>
    <mergeCell ref="D22:E22"/>
    <mergeCell ref="A1:M1"/>
    <mergeCell ref="A2:M2"/>
    <mergeCell ref="A3:M3"/>
    <mergeCell ref="A4:M4"/>
    <mergeCell ref="C5:H5"/>
    <mergeCell ref="I5:J5"/>
    <mergeCell ref="K5:M5"/>
    <mergeCell ref="I7:J7"/>
    <mergeCell ref="K7:M7"/>
    <mergeCell ref="A5:B5"/>
    <mergeCell ref="A6:B6"/>
    <mergeCell ref="C6:H6"/>
    <mergeCell ref="I6:J6"/>
    <mergeCell ref="K6:M6"/>
    <mergeCell ref="A7:B7"/>
    <mergeCell ref="C7:H7"/>
    <mergeCell ref="B8:C8"/>
    <mergeCell ref="D8:E8"/>
    <mergeCell ref="F8:M8"/>
    <mergeCell ref="A9:A12"/>
    <mergeCell ref="D9:E9"/>
    <mergeCell ref="F9:M9"/>
    <mergeCell ref="F10:M10"/>
    <mergeCell ref="D12:E12"/>
    <mergeCell ref="F12:M12"/>
    <mergeCell ref="B9:C9"/>
    <mergeCell ref="B12:C12"/>
    <mergeCell ref="B10:C10"/>
    <mergeCell ref="D10:E10"/>
    <mergeCell ref="B11:C11"/>
    <mergeCell ref="F11:M11"/>
    <mergeCell ref="H33:M33"/>
    <mergeCell ref="F21:M21"/>
    <mergeCell ref="F22:M22"/>
    <mergeCell ref="F23:M23"/>
    <mergeCell ref="F25:M25"/>
    <mergeCell ref="F26:M26"/>
    <mergeCell ref="F27:M27"/>
    <mergeCell ref="D17:E17"/>
    <mergeCell ref="B17:C17"/>
    <mergeCell ref="A13:A17"/>
    <mergeCell ref="F29:M29"/>
    <mergeCell ref="F13:M13"/>
    <mergeCell ref="F14:M14"/>
    <mergeCell ref="F15:M15"/>
    <mergeCell ref="F18:M18"/>
    <mergeCell ref="F19:M19"/>
    <mergeCell ref="A18:A21"/>
    <mergeCell ref="B21:C21"/>
    <mergeCell ref="B18:C18"/>
    <mergeCell ref="B19:C19"/>
    <mergeCell ref="D19:E19"/>
    <mergeCell ref="D21:E21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7" workbookViewId="0">
      <selection activeCell="M12" sqref="M12"/>
    </sheetView>
  </sheetViews>
  <sheetFormatPr defaultColWidth="14.42578125" defaultRowHeight="15" customHeight="1"/>
  <cols>
    <col min="1" max="1" width="14.42578125" customWidth="1"/>
    <col min="2" max="10" width="12.42578125" customWidth="1"/>
  </cols>
  <sheetData>
    <row r="1" spans="1:26" ht="24" customHeight="1">
      <c r="A1" s="209" t="s">
        <v>174</v>
      </c>
      <c r="B1" s="190"/>
      <c r="C1" s="190"/>
      <c r="D1" s="190"/>
      <c r="E1" s="190"/>
      <c r="F1" s="190"/>
      <c r="G1" s="190"/>
      <c r="H1" s="190"/>
      <c r="I1" s="190"/>
      <c r="J1" s="138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24" customHeight="1">
      <c r="A2" s="204" t="s">
        <v>100</v>
      </c>
      <c r="B2" s="145"/>
      <c r="C2" s="145"/>
      <c r="D2" s="145"/>
      <c r="E2" s="145"/>
      <c r="F2" s="145"/>
      <c r="G2" s="145"/>
      <c r="H2" s="145"/>
      <c r="I2" s="145"/>
      <c r="J2" s="14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4" customHeight="1">
      <c r="A3" s="187" t="s">
        <v>175</v>
      </c>
      <c r="B3" s="128"/>
      <c r="C3" s="128"/>
      <c r="D3" s="128"/>
      <c r="E3" s="128"/>
      <c r="F3" s="128"/>
      <c r="G3" s="128"/>
      <c r="H3" s="128"/>
      <c r="I3" s="128"/>
      <c r="J3" s="12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4" customHeight="1">
      <c r="A4" s="188" t="s">
        <v>176</v>
      </c>
      <c r="B4" s="128"/>
      <c r="C4" s="128"/>
      <c r="D4" s="128"/>
      <c r="E4" s="128"/>
      <c r="F4" s="128"/>
      <c r="G4" s="128"/>
      <c r="H4" s="128"/>
      <c r="I4" s="128"/>
      <c r="J4" s="126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24" customHeight="1">
      <c r="A5" s="215" t="s">
        <v>177</v>
      </c>
      <c r="B5" s="126"/>
      <c r="C5" s="211" t="str">
        <f>'Course Information'!F8</f>
        <v>Thara K L</v>
      </c>
      <c r="D5" s="128"/>
      <c r="E5" s="126"/>
      <c r="F5" s="215" t="s">
        <v>178</v>
      </c>
      <c r="G5" s="126"/>
      <c r="H5" s="211" t="s">
        <v>179</v>
      </c>
      <c r="I5" s="128"/>
      <c r="J5" s="126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4" customHeight="1">
      <c r="A6" s="215" t="s">
        <v>101</v>
      </c>
      <c r="B6" s="126"/>
      <c r="C6" s="245" t="str">
        <f>'Course Information'!$F$5</f>
        <v>2026-27</v>
      </c>
      <c r="D6" s="128"/>
      <c r="E6" s="126"/>
      <c r="F6" s="215" t="s">
        <v>131</v>
      </c>
      <c r="G6" s="126"/>
      <c r="H6" s="215" t="s">
        <v>180</v>
      </c>
      <c r="I6" s="128"/>
      <c r="J6" s="12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45">
      <c r="A7" s="66" t="s">
        <v>181</v>
      </c>
      <c r="B7" s="67" t="s">
        <v>182</v>
      </c>
      <c r="C7" s="67" t="s">
        <v>183</v>
      </c>
      <c r="D7" s="67" t="s">
        <v>184</v>
      </c>
      <c r="E7" s="68" t="s">
        <v>185</v>
      </c>
      <c r="F7" s="67" t="s">
        <v>186</v>
      </c>
      <c r="G7" s="67" t="s">
        <v>187</v>
      </c>
      <c r="H7" s="67" t="s">
        <v>188</v>
      </c>
      <c r="I7" s="67" t="s">
        <v>189</v>
      </c>
      <c r="J7" s="67" t="s">
        <v>190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53.25" customHeight="1">
      <c r="A8" s="66" t="s">
        <v>191</v>
      </c>
      <c r="B8" s="69"/>
      <c r="C8" s="70"/>
      <c r="D8" s="246" t="s">
        <v>192</v>
      </c>
      <c r="E8" s="244"/>
      <c r="F8" s="126"/>
      <c r="G8" s="246" t="s">
        <v>193</v>
      </c>
      <c r="H8" s="69"/>
      <c r="I8" s="247"/>
      <c r="J8" s="126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53.25" customHeight="1">
      <c r="A9" s="66" t="s">
        <v>194</v>
      </c>
      <c r="B9" s="244"/>
      <c r="C9" s="126"/>
      <c r="D9" s="150"/>
      <c r="E9" s="69"/>
      <c r="F9" s="70"/>
      <c r="G9" s="150"/>
      <c r="H9" s="244"/>
      <c r="I9" s="126"/>
      <c r="J9" s="6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53.25" customHeight="1">
      <c r="A10" s="66" t="s">
        <v>195</v>
      </c>
      <c r="B10" s="69"/>
      <c r="C10" s="69"/>
      <c r="D10" s="150"/>
      <c r="E10" s="242" t="s">
        <v>439</v>
      </c>
      <c r="F10" s="243"/>
      <c r="G10" s="150"/>
      <c r="H10" s="69"/>
      <c r="I10" s="69"/>
      <c r="J10" s="6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53.25" customHeight="1">
      <c r="A11" s="66" t="s">
        <v>196</v>
      </c>
      <c r="B11" s="70"/>
      <c r="C11" s="69"/>
      <c r="D11" s="150"/>
      <c r="E11" s="69"/>
      <c r="F11" s="70"/>
      <c r="G11" s="150"/>
      <c r="H11" s="244"/>
      <c r="I11" s="126"/>
      <c r="J11" s="6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53.25" customHeight="1">
      <c r="A12" s="66" t="s">
        <v>197</v>
      </c>
      <c r="B12" s="70"/>
      <c r="C12" s="69"/>
      <c r="D12" s="150"/>
      <c r="E12" s="242" t="s">
        <v>439</v>
      </c>
      <c r="F12" s="243"/>
      <c r="G12" s="150"/>
      <c r="H12" s="69"/>
      <c r="I12" s="69"/>
      <c r="J12" s="69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53.25" customHeight="1">
      <c r="A13" s="66" t="s">
        <v>198</v>
      </c>
      <c r="B13" s="69"/>
      <c r="C13" s="70"/>
      <c r="D13" s="151"/>
      <c r="E13" s="244"/>
      <c r="F13" s="126"/>
      <c r="G13" s="151"/>
      <c r="H13" s="69"/>
      <c r="I13" s="69"/>
      <c r="J13" s="69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3.25">
      <c r="A15" s="71" t="s">
        <v>199</v>
      </c>
      <c r="B15" s="248" t="s">
        <v>13</v>
      </c>
      <c r="C15" s="128"/>
      <c r="D15" s="128"/>
      <c r="E15" s="126"/>
      <c r="F15" s="248" t="s">
        <v>17</v>
      </c>
      <c r="G15" s="126"/>
      <c r="H15" s="71" t="s">
        <v>200</v>
      </c>
      <c r="I15" s="71" t="s">
        <v>201</v>
      </c>
      <c r="J15" s="72" t="s">
        <v>202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2.5" customHeight="1">
      <c r="A16" s="69"/>
      <c r="B16" s="201"/>
      <c r="C16" s="128"/>
      <c r="D16" s="128"/>
      <c r="E16" s="126"/>
      <c r="F16" s="201"/>
      <c r="G16" s="126"/>
      <c r="H16" s="69"/>
      <c r="I16" s="69"/>
      <c r="J16" s="25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2.5" customHeight="1">
      <c r="A17" s="69"/>
      <c r="B17" s="201"/>
      <c r="C17" s="128"/>
      <c r="D17" s="128"/>
      <c r="E17" s="126"/>
      <c r="F17" s="201"/>
      <c r="G17" s="126"/>
      <c r="H17" s="69"/>
      <c r="I17" s="69"/>
      <c r="J17" s="15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2.5" customHeight="1">
      <c r="A18" s="69"/>
      <c r="B18" s="201"/>
      <c r="C18" s="128"/>
      <c r="D18" s="128"/>
      <c r="E18" s="126"/>
      <c r="F18" s="201"/>
      <c r="G18" s="126"/>
      <c r="H18" s="69"/>
      <c r="I18" s="69"/>
      <c r="J18" s="15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2.5" customHeight="1">
      <c r="A19" s="69"/>
      <c r="B19" s="201"/>
      <c r="C19" s="128"/>
      <c r="D19" s="128"/>
      <c r="E19" s="126"/>
      <c r="F19" s="201"/>
      <c r="G19" s="126"/>
      <c r="H19" s="69"/>
      <c r="I19" s="69"/>
      <c r="J19" s="15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2.5" customHeight="1">
      <c r="A20" s="69"/>
      <c r="B20" s="201"/>
      <c r="C20" s="128"/>
      <c r="D20" s="128"/>
      <c r="E20" s="126"/>
      <c r="F20" s="201"/>
      <c r="G20" s="126"/>
      <c r="H20" s="69"/>
      <c r="I20" s="69"/>
      <c r="J20" s="15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2.5" customHeight="1">
      <c r="A21" s="69"/>
      <c r="B21" s="201"/>
      <c r="C21" s="128"/>
      <c r="D21" s="128"/>
      <c r="E21" s="126"/>
      <c r="F21" s="201"/>
      <c r="G21" s="126"/>
      <c r="H21" s="69"/>
      <c r="I21" s="69"/>
      <c r="J21" s="15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2.5" customHeight="1">
      <c r="A22" s="249" t="s">
        <v>203</v>
      </c>
      <c r="B22" s="128"/>
      <c r="C22" s="128"/>
      <c r="D22" s="128"/>
      <c r="E22" s="128"/>
      <c r="F22" s="128"/>
      <c r="G22" s="128"/>
      <c r="H22" s="128"/>
      <c r="I22" s="126"/>
      <c r="J22" s="15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2.5" customHeight="1">
      <c r="A23" s="73">
        <v>1</v>
      </c>
      <c r="B23" s="201"/>
      <c r="C23" s="128"/>
      <c r="D23" s="128"/>
      <c r="E23" s="128"/>
      <c r="F23" s="128"/>
      <c r="G23" s="128"/>
      <c r="H23" s="128"/>
      <c r="I23" s="126"/>
      <c r="J23" s="15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2.5" customHeight="1">
      <c r="A24" s="73">
        <v>2</v>
      </c>
      <c r="B24" s="201"/>
      <c r="C24" s="128"/>
      <c r="D24" s="128"/>
      <c r="E24" s="128"/>
      <c r="F24" s="128"/>
      <c r="G24" s="128"/>
      <c r="H24" s="128"/>
      <c r="I24" s="126"/>
      <c r="J24" s="15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2.5" customHeight="1">
      <c r="A25" s="73">
        <v>3</v>
      </c>
      <c r="B25" s="201"/>
      <c r="C25" s="128"/>
      <c r="D25" s="128"/>
      <c r="E25" s="128"/>
      <c r="F25" s="128"/>
      <c r="G25" s="128"/>
      <c r="H25" s="128"/>
      <c r="I25" s="126"/>
      <c r="J25" s="15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2.5" customHeight="1">
      <c r="A26" s="73">
        <v>4</v>
      </c>
      <c r="B26" s="201"/>
      <c r="C26" s="128"/>
      <c r="D26" s="128"/>
      <c r="E26" s="128"/>
      <c r="F26" s="128"/>
      <c r="G26" s="128"/>
      <c r="H26" s="128"/>
      <c r="I26" s="126"/>
      <c r="J26" s="15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2.5" customHeight="1">
      <c r="A27" s="73">
        <v>5</v>
      </c>
      <c r="B27" s="201"/>
      <c r="C27" s="128"/>
      <c r="D27" s="128"/>
      <c r="E27" s="128"/>
      <c r="F27" s="128"/>
      <c r="G27" s="128"/>
      <c r="H27" s="128"/>
      <c r="I27" s="126"/>
      <c r="J27" s="15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2.5" customHeight="1">
      <c r="A28" s="73">
        <v>6</v>
      </c>
      <c r="B28" s="201"/>
      <c r="C28" s="128"/>
      <c r="D28" s="128"/>
      <c r="E28" s="128"/>
      <c r="F28" s="128"/>
      <c r="G28" s="128"/>
      <c r="H28" s="128"/>
      <c r="I28" s="126"/>
      <c r="J28" s="151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198" t="s">
        <v>210</v>
      </c>
      <c r="B32" s="144"/>
      <c r="C32" s="144"/>
      <c r="D32" s="228"/>
      <c r="E32" s="144"/>
      <c r="F32" s="144"/>
      <c r="G32" s="198" t="s">
        <v>157</v>
      </c>
      <c r="H32" s="144"/>
      <c r="I32" s="144"/>
      <c r="J32" s="144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198" t="s">
        <v>211</v>
      </c>
      <c r="B33" s="144"/>
      <c r="C33" s="144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B25:I25"/>
    <mergeCell ref="B26:I26"/>
    <mergeCell ref="B27:I27"/>
    <mergeCell ref="B28:I28"/>
    <mergeCell ref="A32:C32"/>
    <mergeCell ref="D32:F32"/>
    <mergeCell ref="G32:J32"/>
    <mergeCell ref="J16:J28"/>
    <mergeCell ref="B23:I23"/>
    <mergeCell ref="B24:I24"/>
    <mergeCell ref="A33:C33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A22:I22"/>
    <mergeCell ref="A1:J1"/>
    <mergeCell ref="A2:J2"/>
    <mergeCell ref="A3:J3"/>
    <mergeCell ref="A4:J4"/>
    <mergeCell ref="C5:E5"/>
    <mergeCell ref="F5:G5"/>
    <mergeCell ref="H5:J5"/>
    <mergeCell ref="E12:F12"/>
    <mergeCell ref="H11:I11"/>
    <mergeCell ref="A5:B5"/>
    <mergeCell ref="A6:B6"/>
    <mergeCell ref="C6:E6"/>
    <mergeCell ref="F6:G6"/>
    <mergeCell ref="H6:J6"/>
    <mergeCell ref="D8:D13"/>
    <mergeCell ref="G8:G13"/>
    <mergeCell ref="E13:F13"/>
    <mergeCell ref="I8:J8"/>
    <mergeCell ref="E8:F8"/>
    <mergeCell ref="B9:C9"/>
    <mergeCell ref="H9:I9"/>
    <mergeCell ref="E10:F10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37" workbookViewId="0">
      <selection activeCell="J54" sqref="J54"/>
    </sheetView>
  </sheetViews>
  <sheetFormatPr defaultColWidth="14.42578125" defaultRowHeight="15" customHeight="1"/>
  <cols>
    <col min="1" max="2" width="14.42578125" customWidth="1"/>
    <col min="3" max="3" width="25.140625" customWidth="1"/>
    <col min="4" max="5" width="14.42578125" customWidth="1"/>
    <col min="6" max="6" width="16.28515625" customWidth="1"/>
    <col min="7" max="7" width="26.85546875" customWidth="1"/>
  </cols>
  <sheetData>
    <row r="1" spans="1:26" ht="18.75">
      <c r="A1" s="209" t="s">
        <v>99</v>
      </c>
      <c r="B1" s="190"/>
      <c r="C1" s="190"/>
      <c r="D1" s="190"/>
      <c r="E1" s="190"/>
      <c r="F1" s="190"/>
      <c r="G1" s="138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204" t="s">
        <v>204</v>
      </c>
      <c r="B2" s="145"/>
      <c r="C2" s="145"/>
      <c r="D2" s="145"/>
      <c r="E2" s="145"/>
      <c r="F2" s="145"/>
      <c r="G2" s="14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187" t="s">
        <v>205</v>
      </c>
      <c r="B3" s="128"/>
      <c r="C3" s="128"/>
      <c r="D3" s="128"/>
      <c r="E3" s="128"/>
      <c r="F3" s="128"/>
      <c r="G3" s="126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188" t="s">
        <v>206</v>
      </c>
      <c r="B4" s="128"/>
      <c r="C4" s="128"/>
      <c r="D4" s="128"/>
      <c r="E4" s="128"/>
      <c r="F4" s="128"/>
      <c r="G4" s="126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8.75" customHeight="1">
      <c r="A5" s="215" t="s">
        <v>207</v>
      </c>
      <c r="B5" s="126"/>
      <c r="C5" s="74" t="s">
        <v>7</v>
      </c>
      <c r="D5" s="75" t="s">
        <v>102</v>
      </c>
      <c r="E5" s="8">
        <v>3</v>
      </c>
      <c r="F5" s="75" t="s">
        <v>131</v>
      </c>
      <c r="G5" s="76">
        <v>46265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8.75" customHeight="1">
      <c r="A6" s="215" t="s">
        <v>208</v>
      </c>
      <c r="B6" s="126"/>
      <c r="C6" s="255" t="s">
        <v>209</v>
      </c>
      <c r="D6" s="128"/>
      <c r="E6" s="126"/>
      <c r="F6" s="77" t="s">
        <v>106</v>
      </c>
      <c r="G6" s="61" t="s">
        <v>19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8.75" customHeight="1">
      <c r="A7" s="215" t="s">
        <v>212</v>
      </c>
      <c r="B7" s="126"/>
      <c r="C7" s="215" t="s">
        <v>213</v>
      </c>
      <c r="D7" s="126"/>
      <c r="E7" s="215" t="s">
        <v>214</v>
      </c>
      <c r="F7" s="128"/>
      <c r="G7" s="126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8.75" customHeight="1">
      <c r="A8" s="215" t="s">
        <v>215</v>
      </c>
      <c r="B8" s="128"/>
      <c r="C8" s="128"/>
      <c r="D8" s="128"/>
      <c r="E8" s="128"/>
      <c r="F8" s="128"/>
      <c r="G8" s="126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3.75">
      <c r="A9" s="78" t="s">
        <v>216</v>
      </c>
      <c r="B9" s="77" t="s">
        <v>217</v>
      </c>
      <c r="C9" s="79" t="s">
        <v>218</v>
      </c>
      <c r="D9" s="80" t="s">
        <v>219</v>
      </c>
      <c r="E9" s="80" t="s">
        <v>220</v>
      </c>
      <c r="F9" s="81" t="s">
        <v>222</v>
      </c>
      <c r="G9" s="80" t="s">
        <v>223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73">
        <v>1</v>
      </c>
      <c r="B10" s="254" t="s">
        <v>224</v>
      </c>
      <c r="C10" s="82"/>
      <c r="D10" s="83"/>
      <c r="E10" s="69"/>
      <c r="F10" s="69"/>
      <c r="G10" s="69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73">
        <v>2</v>
      </c>
      <c r="B11" s="139"/>
      <c r="C11" s="82"/>
      <c r="D11" s="83"/>
      <c r="E11" s="69"/>
      <c r="F11" s="69"/>
      <c r="G11" s="69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73">
        <v>3</v>
      </c>
      <c r="B12" s="139"/>
      <c r="C12" s="82"/>
      <c r="D12" s="83"/>
      <c r="E12" s="69"/>
      <c r="F12" s="69"/>
      <c r="G12" s="69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73">
        <v>4</v>
      </c>
      <c r="B13" s="139"/>
      <c r="C13" s="82"/>
      <c r="D13" s="83"/>
      <c r="E13" s="69"/>
      <c r="F13" s="69"/>
      <c r="G13" s="69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73">
        <v>5</v>
      </c>
      <c r="B14" s="139"/>
      <c r="C14" s="82"/>
      <c r="D14" s="83"/>
      <c r="E14" s="69"/>
      <c r="F14" s="69"/>
      <c r="G14" s="69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73">
        <v>6</v>
      </c>
      <c r="B15" s="139"/>
      <c r="C15" s="82"/>
      <c r="D15" s="83"/>
      <c r="E15" s="69"/>
      <c r="F15" s="69"/>
      <c r="G15" s="69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32.25" customHeight="1">
      <c r="A16" s="73">
        <v>7</v>
      </c>
      <c r="B16" s="139"/>
      <c r="C16" s="82"/>
      <c r="D16" s="83"/>
      <c r="E16" s="69"/>
      <c r="F16" s="69"/>
      <c r="G16" s="69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73">
        <v>8</v>
      </c>
      <c r="B17" s="139"/>
      <c r="C17" s="82"/>
      <c r="D17" s="83"/>
      <c r="E17" s="69"/>
      <c r="F17" s="69"/>
      <c r="G17" s="69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53" t="s">
        <v>226</v>
      </c>
      <c r="B18" s="128"/>
      <c r="C18" s="126"/>
      <c r="D18" s="201"/>
      <c r="E18" s="128"/>
      <c r="F18" s="128"/>
      <c r="G18" s="12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52" t="s">
        <v>227</v>
      </c>
      <c r="B19" s="128"/>
      <c r="C19" s="128"/>
      <c r="D19" s="128"/>
      <c r="E19" s="126"/>
      <c r="F19" s="187" t="s">
        <v>172</v>
      </c>
      <c r="G19" s="126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73">
        <v>9</v>
      </c>
      <c r="B20" s="254" t="s">
        <v>228</v>
      </c>
      <c r="C20" s="82"/>
      <c r="D20" s="83"/>
      <c r="E20" s="69"/>
      <c r="F20" s="69"/>
      <c r="G20" s="69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73">
        <v>10</v>
      </c>
      <c r="B21" s="139"/>
      <c r="C21" s="82"/>
      <c r="D21" s="83"/>
      <c r="E21" s="69"/>
      <c r="F21" s="69"/>
      <c r="G21" s="69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73">
        <v>11</v>
      </c>
      <c r="B22" s="139"/>
      <c r="C22" s="82"/>
      <c r="D22" s="83"/>
      <c r="E22" s="69"/>
      <c r="F22" s="69"/>
      <c r="G22" s="69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73">
        <v>12</v>
      </c>
      <c r="B23" s="139"/>
      <c r="C23" s="82"/>
      <c r="D23" s="83"/>
      <c r="E23" s="69"/>
      <c r="F23" s="69"/>
      <c r="G23" s="69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73">
        <v>13</v>
      </c>
      <c r="B24" s="139"/>
      <c r="C24" s="82"/>
      <c r="D24" s="83"/>
      <c r="E24" s="69"/>
      <c r="F24" s="69"/>
      <c r="G24" s="69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73">
        <v>14</v>
      </c>
      <c r="B25" s="139"/>
      <c r="C25" s="82"/>
      <c r="D25" s="83"/>
      <c r="E25" s="69"/>
      <c r="F25" s="69"/>
      <c r="G25" s="69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73">
        <v>15</v>
      </c>
      <c r="B26" s="139"/>
      <c r="C26" s="82"/>
      <c r="D26" s="83"/>
      <c r="E26" s="69"/>
      <c r="F26" s="69"/>
      <c r="G26" s="69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73">
        <v>16</v>
      </c>
      <c r="B27" s="139"/>
      <c r="C27" s="82"/>
      <c r="D27" s="83"/>
      <c r="E27" s="69"/>
      <c r="F27" s="69"/>
      <c r="G27" s="69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3" t="s">
        <v>226</v>
      </c>
      <c r="B28" s="128"/>
      <c r="C28" s="126"/>
      <c r="D28" s="201"/>
      <c r="E28" s="128"/>
      <c r="F28" s="128"/>
      <c r="G28" s="12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2" t="s">
        <v>227</v>
      </c>
      <c r="B29" s="128"/>
      <c r="C29" s="128"/>
      <c r="D29" s="128"/>
      <c r="E29" s="126"/>
      <c r="F29" s="187" t="s">
        <v>172</v>
      </c>
      <c r="G29" s="12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73">
        <v>17</v>
      </c>
      <c r="B30" s="254" t="s">
        <v>235</v>
      </c>
      <c r="C30" s="82"/>
      <c r="D30" s="85"/>
      <c r="E30" s="69"/>
      <c r="F30" s="69"/>
      <c r="G30" s="69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73">
        <v>18</v>
      </c>
      <c r="B31" s="139"/>
      <c r="C31" s="82"/>
      <c r="D31" s="83"/>
      <c r="E31" s="69"/>
      <c r="F31" s="69"/>
      <c r="G31" s="69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73">
        <v>19</v>
      </c>
      <c r="B32" s="139"/>
      <c r="C32" s="82"/>
      <c r="D32" s="83"/>
      <c r="E32" s="69"/>
      <c r="F32" s="69"/>
      <c r="G32" s="69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73">
        <v>20</v>
      </c>
      <c r="B33" s="139"/>
      <c r="C33" s="82"/>
      <c r="D33" s="83"/>
      <c r="E33" s="69"/>
      <c r="F33" s="69"/>
      <c r="G33" s="69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73">
        <v>21</v>
      </c>
      <c r="B34" s="139"/>
      <c r="C34" s="82"/>
      <c r="D34" s="83"/>
      <c r="E34" s="69"/>
      <c r="F34" s="69"/>
      <c r="G34" s="69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73">
        <v>22</v>
      </c>
      <c r="B35" s="139"/>
      <c r="C35" s="82"/>
      <c r="D35" s="83"/>
      <c r="E35" s="69"/>
      <c r="F35" s="69"/>
      <c r="G35" s="69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73">
        <v>23</v>
      </c>
      <c r="B36" s="139"/>
      <c r="C36" s="82"/>
      <c r="D36" s="83"/>
      <c r="E36" s="69"/>
      <c r="F36" s="69"/>
      <c r="G36" s="69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42" customHeight="1">
      <c r="A37" s="73">
        <v>24</v>
      </c>
      <c r="B37" s="139"/>
      <c r="C37" s="82"/>
      <c r="D37" s="83"/>
      <c r="E37" s="69"/>
      <c r="F37" s="69"/>
      <c r="G37" s="69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73">
        <v>25</v>
      </c>
      <c r="B38" s="139"/>
      <c r="C38" s="82"/>
      <c r="D38" s="83"/>
      <c r="E38" s="69"/>
      <c r="F38" s="69"/>
      <c r="G38" s="69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3" t="s">
        <v>226</v>
      </c>
      <c r="B39" s="128"/>
      <c r="C39" s="126"/>
      <c r="D39" s="201"/>
      <c r="E39" s="128"/>
      <c r="F39" s="128"/>
      <c r="G39" s="12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2" t="s">
        <v>227</v>
      </c>
      <c r="B40" s="128"/>
      <c r="C40" s="128"/>
      <c r="D40" s="128"/>
      <c r="E40" s="126"/>
      <c r="F40" s="187" t="s">
        <v>172</v>
      </c>
      <c r="G40" s="12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73">
        <v>26</v>
      </c>
      <c r="B41" s="251" t="s">
        <v>236</v>
      </c>
      <c r="C41" s="82"/>
      <c r="D41" s="86"/>
      <c r="E41" s="69"/>
      <c r="F41" s="69"/>
      <c r="G41" s="69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73">
        <v>27</v>
      </c>
      <c r="B42" s="150"/>
      <c r="C42" s="82"/>
      <c r="D42" s="86"/>
      <c r="E42" s="69"/>
      <c r="F42" s="69"/>
      <c r="G42" s="69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73">
        <v>28</v>
      </c>
      <c r="B43" s="150"/>
      <c r="C43" s="82"/>
      <c r="D43" s="86"/>
      <c r="E43" s="69"/>
      <c r="F43" s="69"/>
      <c r="G43" s="69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73">
        <v>29</v>
      </c>
      <c r="B44" s="150"/>
      <c r="C44" s="82"/>
      <c r="D44" s="86"/>
      <c r="E44" s="69"/>
      <c r="F44" s="69"/>
      <c r="G44" s="69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73">
        <v>30</v>
      </c>
      <c r="B45" s="150"/>
      <c r="C45" s="82"/>
      <c r="D45" s="86"/>
      <c r="E45" s="69"/>
      <c r="F45" s="69"/>
      <c r="G45" s="69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73">
        <v>31</v>
      </c>
      <c r="B46" s="150"/>
      <c r="C46" s="82"/>
      <c r="D46" s="86"/>
      <c r="E46" s="69"/>
      <c r="F46" s="69"/>
      <c r="G46" s="69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73">
        <v>32</v>
      </c>
      <c r="B47" s="150"/>
      <c r="C47" s="82"/>
      <c r="D47" s="86"/>
      <c r="E47" s="69"/>
      <c r="F47" s="69"/>
      <c r="G47" s="69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73">
        <v>33</v>
      </c>
      <c r="B48" s="150"/>
      <c r="C48" s="82"/>
      <c r="D48" s="86"/>
      <c r="E48" s="69"/>
      <c r="F48" s="69"/>
      <c r="G48" s="69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73">
        <v>34</v>
      </c>
      <c r="B49" s="150"/>
      <c r="C49" s="82"/>
      <c r="D49" s="85"/>
      <c r="E49" s="69"/>
      <c r="F49" s="69"/>
      <c r="G49" s="69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3" t="s">
        <v>226</v>
      </c>
      <c r="B50" s="128"/>
      <c r="C50" s="126"/>
      <c r="D50" s="201"/>
      <c r="E50" s="128"/>
      <c r="F50" s="128"/>
      <c r="G50" s="12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2" t="s">
        <v>227</v>
      </c>
      <c r="B51" s="128"/>
      <c r="C51" s="128"/>
      <c r="D51" s="128"/>
      <c r="E51" s="126"/>
      <c r="F51" s="187" t="s">
        <v>172</v>
      </c>
      <c r="G51" s="12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73">
        <v>35</v>
      </c>
      <c r="B52" s="251" t="s">
        <v>237</v>
      </c>
      <c r="C52" s="82"/>
      <c r="D52" s="86"/>
      <c r="E52" s="69"/>
      <c r="F52" s="69"/>
      <c r="G52" s="69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73">
        <v>36</v>
      </c>
      <c r="B53" s="150"/>
      <c r="C53" s="82"/>
      <c r="D53" s="86"/>
      <c r="E53" s="69"/>
      <c r="F53" s="69"/>
      <c r="G53" s="69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73">
        <v>37</v>
      </c>
      <c r="B54" s="150"/>
      <c r="C54" s="82"/>
      <c r="D54" s="86"/>
      <c r="E54" s="69"/>
      <c r="F54" s="69"/>
      <c r="G54" s="69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73">
        <v>38</v>
      </c>
      <c r="B55" s="150"/>
      <c r="C55" s="82"/>
      <c r="D55" s="86"/>
      <c r="E55" s="69"/>
      <c r="F55" s="69"/>
      <c r="G55" s="69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73">
        <v>39</v>
      </c>
      <c r="B56" s="150"/>
      <c r="C56" s="82"/>
      <c r="D56" s="86"/>
      <c r="E56" s="69"/>
      <c r="F56" s="69"/>
      <c r="G56" s="69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73">
        <v>40</v>
      </c>
      <c r="B57" s="150"/>
      <c r="C57" s="82"/>
      <c r="D57" s="86"/>
      <c r="E57" s="69"/>
      <c r="F57" s="69"/>
      <c r="G57" s="69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73">
        <v>41</v>
      </c>
      <c r="B58" s="150"/>
      <c r="C58" s="82"/>
      <c r="D58" s="86"/>
      <c r="E58" s="69"/>
      <c r="F58" s="69"/>
      <c r="G58" s="6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73">
        <v>42</v>
      </c>
      <c r="B59" s="150"/>
      <c r="C59" s="82"/>
      <c r="D59" s="86"/>
      <c r="E59" s="69"/>
      <c r="F59" s="69"/>
      <c r="G59" s="69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3" t="s">
        <v>226</v>
      </c>
      <c r="B60" s="128"/>
      <c r="C60" s="126"/>
      <c r="D60" s="201"/>
      <c r="E60" s="128"/>
      <c r="F60" s="128"/>
      <c r="G60" s="12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2" t="s">
        <v>227</v>
      </c>
      <c r="B61" s="128"/>
      <c r="C61" s="128"/>
      <c r="D61" s="128"/>
      <c r="E61" s="126"/>
      <c r="F61" s="187" t="s">
        <v>172</v>
      </c>
      <c r="G61" s="12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198" t="s">
        <v>238</v>
      </c>
      <c r="B65" s="144"/>
      <c r="C65" s="144"/>
      <c r="D65" s="144"/>
      <c r="E65" s="144"/>
      <c r="F65" s="144"/>
      <c r="G65" s="144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G1"/>
    <mergeCell ref="A2:G2"/>
    <mergeCell ref="A3:G3"/>
    <mergeCell ref="A4:G4"/>
    <mergeCell ref="A5:B5"/>
    <mergeCell ref="A6:B6"/>
    <mergeCell ref="C6:E6"/>
    <mergeCell ref="A7:B7"/>
    <mergeCell ref="C7:D7"/>
    <mergeCell ref="E7:G7"/>
    <mergeCell ref="A8:G8"/>
    <mergeCell ref="B10:B17"/>
    <mergeCell ref="A18:C18"/>
    <mergeCell ref="D18:G18"/>
    <mergeCell ref="A19:E19"/>
    <mergeCell ref="F19:G19"/>
    <mergeCell ref="B20:B27"/>
    <mergeCell ref="A28:C28"/>
    <mergeCell ref="D28:G28"/>
    <mergeCell ref="A29:E29"/>
    <mergeCell ref="F29:G29"/>
    <mergeCell ref="B30:B38"/>
    <mergeCell ref="A39:C39"/>
    <mergeCell ref="D39:G39"/>
    <mergeCell ref="A40:E40"/>
    <mergeCell ref="F40:G40"/>
    <mergeCell ref="B41:B49"/>
    <mergeCell ref="D50:G50"/>
    <mergeCell ref="A61:E61"/>
    <mergeCell ref="A65:G65"/>
    <mergeCell ref="A50:C50"/>
    <mergeCell ref="A51:E51"/>
    <mergeCell ref="F51:G51"/>
    <mergeCell ref="B52:B59"/>
    <mergeCell ref="A60:C60"/>
    <mergeCell ref="D60:G60"/>
    <mergeCell ref="F61:G61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8"/>
  <sheetViews>
    <sheetView topLeftCell="A6" workbookViewId="0">
      <selection activeCell="G6" sqref="G6"/>
    </sheetView>
  </sheetViews>
  <sheetFormatPr defaultColWidth="14.42578125" defaultRowHeight="15" customHeight="1"/>
  <cols>
    <col min="1" max="2" width="14.42578125" customWidth="1"/>
    <col min="3" max="3" width="33.5703125" customWidth="1"/>
    <col min="4" max="5" width="14.42578125" customWidth="1"/>
    <col min="6" max="6" width="18.42578125" customWidth="1"/>
    <col min="7" max="7" width="26.42578125" customWidth="1"/>
  </cols>
  <sheetData>
    <row r="1" spans="1:26" ht="18.75">
      <c r="A1" s="263" t="s">
        <v>99</v>
      </c>
      <c r="B1" s="190"/>
      <c r="C1" s="190"/>
      <c r="D1" s="190"/>
      <c r="E1" s="190"/>
      <c r="F1" s="190"/>
      <c r="G1" s="13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18" t="s">
        <v>204</v>
      </c>
      <c r="B2" s="145"/>
      <c r="C2" s="145"/>
      <c r="D2" s="145"/>
      <c r="E2" s="145"/>
      <c r="F2" s="145"/>
      <c r="G2" s="14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31" t="s">
        <v>221</v>
      </c>
      <c r="B3" s="128"/>
      <c r="C3" s="128"/>
      <c r="D3" s="128"/>
      <c r="E3" s="128"/>
      <c r="F3" s="128"/>
      <c r="G3" s="12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64" t="s">
        <v>407</v>
      </c>
      <c r="B4" s="128"/>
      <c r="C4" s="128"/>
      <c r="D4" s="128"/>
      <c r="E4" s="128"/>
      <c r="F4" s="128"/>
      <c r="G4" s="12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15" t="s">
        <v>207</v>
      </c>
      <c r="B5" s="126"/>
      <c r="C5" s="74" t="str">
        <f>'Course Information'!$F$5</f>
        <v>2026-27</v>
      </c>
      <c r="D5" s="75" t="s">
        <v>102</v>
      </c>
      <c r="E5" s="8" t="str">
        <f>'Course Information'!N5</f>
        <v>III</v>
      </c>
      <c r="F5" s="75" t="s">
        <v>131</v>
      </c>
      <c r="G5" s="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15" t="s">
        <v>208</v>
      </c>
      <c r="B6" s="126"/>
      <c r="C6" s="255" t="s">
        <v>409</v>
      </c>
      <c r="D6" s="128"/>
      <c r="E6" s="126"/>
      <c r="F6" s="84" t="s">
        <v>106</v>
      </c>
      <c r="G6" t="s">
        <v>408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15" t="s">
        <v>212</v>
      </c>
      <c r="B7" s="126"/>
      <c r="C7" s="215" t="str">
        <f>'Course Information'!F8</f>
        <v>Thara K L</v>
      </c>
      <c r="D7" s="126"/>
      <c r="E7" s="215" t="s">
        <v>214</v>
      </c>
      <c r="F7" s="128"/>
      <c r="G7" s="12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15" t="s">
        <v>410</v>
      </c>
      <c r="B8" s="128"/>
      <c r="C8" s="128"/>
      <c r="D8" s="128"/>
      <c r="E8" s="128"/>
      <c r="F8" s="128"/>
      <c r="G8" s="12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3.75">
      <c r="A9" s="78" t="s">
        <v>229</v>
      </c>
      <c r="B9" s="77" t="s">
        <v>230</v>
      </c>
      <c r="C9" s="118" t="s">
        <v>231</v>
      </c>
      <c r="D9" s="80" t="s">
        <v>219</v>
      </c>
      <c r="E9" s="80" t="s">
        <v>220</v>
      </c>
      <c r="F9" s="81" t="s">
        <v>222</v>
      </c>
      <c r="G9" s="80" t="s">
        <v>223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2" customHeight="1">
      <c r="A10" s="256">
        <v>1</v>
      </c>
      <c r="B10" s="116" t="s">
        <v>232</v>
      </c>
      <c r="C10" s="257" t="s">
        <v>418</v>
      </c>
      <c r="D10" s="117"/>
      <c r="E10" s="61"/>
      <c r="F10" s="61"/>
      <c r="G10" s="6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0.5" customHeight="1">
      <c r="A11" s="150"/>
      <c r="B11" s="116" t="s">
        <v>233</v>
      </c>
      <c r="C11" s="257"/>
      <c r="D11" s="117"/>
      <c r="E11" s="61"/>
      <c r="F11" s="61"/>
      <c r="G11" s="6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3" customHeight="1">
      <c r="A12" s="256">
        <v>2</v>
      </c>
      <c r="B12" s="116" t="s">
        <v>232</v>
      </c>
      <c r="C12" s="257" t="s">
        <v>419</v>
      </c>
      <c r="D12" s="117"/>
      <c r="E12" s="61"/>
      <c r="F12" s="61"/>
      <c r="G12" s="61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3.75" customHeight="1">
      <c r="A13" s="150"/>
      <c r="B13" s="116" t="s">
        <v>233</v>
      </c>
      <c r="C13" s="257"/>
      <c r="D13" s="117"/>
      <c r="E13" s="61"/>
      <c r="F13" s="61"/>
      <c r="G13" s="6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5.25" customHeight="1">
      <c r="A14" s="256">
        <v>3</v>
      </c>
      <c r="B14" s="116" t="s">
        <v>232</v>
      </c>
      <c r="C14" s="257" t="s">
        <v>420</v>
      </c>
      <c r="D14" s="117"/>
      <c r="E14" s="61"/>
      <c r="F14" s="61"/>
      <c r="G14" s="6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3" customHeight="1">
      <c r="A15" s="150"/>
      <c r="B15" s="116" t="s">
        <v>233</v>
      </c>
      <c r="C15" s="257"/>
      <c r="D15" s="117"/>
      <c r="E15" s="61"/>
      <c r="F15" s="61"/>
      <c r="G15" s="6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>
      <c r="A16" s="256">
        <v>4</v>
      </c>
      <c r="B16" s="116" t="s">
        <v>232</v>
      </c>
      <c r="C16" s="257" t="s">
        <v>421</v>
      </c>
      <c r="D16" s="117"/>
      <c r="E16" s="61"/>
      <c r="F16" s="61"/>
      <c r="G16" s="6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>
      <c r="A17" s="150"/>
      <c r="B17" s="116" t="s">
        <v>233</v>
      </c>
      <c r="C17" s="257"/>
      <c r="D17" s="117"/>
      <c r="E17" s="61"/>
      <c r="F17" s="61"/>
      <c r="G17" s="61"/>
      <c r="H17" s="3"/>
      <c r="I17" s="12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2.25" customHeight="1">
      <c r="A18" s="256">
        <v>5</v>
      </c>
      <c r="B18" s="116" t="s">
        <v>232</v>
      </c>
      <c r="C18" s="257" t="s">
        <v>422</v>
      </c>
      <c r="D18" s="117"/>
      <c r="E18" s="61"/>
      <c r="F18" s="61"/>
      <c r="G18" s="61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7.5" customHeight="1">
      <c r="A19" s="150"/>
      <c r="B19" s="116" t="s">
        <v>233</v>
      </c>
      <c r="C19" s="257"/>
      <c r="D19" s="117"/>
      <c r="E19" s="61"/>
      <c r="F19" s="61"/>
      <c r="G19" s="61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2.25" customHeight="1">
      <c r="A20" s="256">
        <v>6</v>
      </c>
      <c r="B20" s="116" t="s">
        <v>232</v>
      </c>
      <c r="C20" s="261" t="s">
        <v>411</v>
      </c>
      <c r="D20" s="117"/>
      <c r="E20" s="61"/>
      <c r="F20" s="61"/>
      <c r="G20" s="6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9" customHeight="1">
      <c r="A21" s="150"/>
      <c r="B21" s="116" t="s">
        <v>233</v>
      </c>
      <c r="C21" s="262"/>
      <c r="D21" s="117"/>
      <c r="E21" s="61"/>
      <c r="F21" s="61"/>
      <c r="G21" s="6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3.75" customHeight="1">
      <c r="A22" s="256">
        <v>7</v>
      </c>
      <c r="B22" s="116" t="s">
        <v>232</v>
      </c>
      <c r="C22" s="257" t="s">
        <v>412</v>
      </c>
      <c r="D22" s="117"/>
      <c r="E22" s="61"/>
      <c r="F22" s="61"/>
      <c r="G22" s="6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3.75" customHeight="1">
      <c r="A23" s="150"/>
      <c r="B23" s="116" t="s">
        <v>233</v>
      </c>
      <c r="C23" s="257"/>
      <c r="D23" s="117"/>
      <c r="E23" s="61"/>
      <c r="F23" s="61"/>
      <c r="G23" s="6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6.75" customHeight="1">
      <c r="A24" s="256">
        <v>8</v>
      </c>
      <c r="B24" s="116" t="s">
        <v>232</v>
      </c>
      <c r="C24" s="257" t="s">
        <v>413</v>
      </c>
      <c r="D24" s="117"/>
      <c r="E24" s="61"/>
      <c r="F24" s="61"/>
      <c r="G24" s="6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9" customHeight="1">
      <c r="A25" s="150"/>
      <c r="B25" s="116" t="s">
        <v>233</v>
      </c>
      <c r="C25" s="257"/>
      <c r="D25" s="117"/>
      <c r="E25" s="61"/>
      <c r="F25" s="61"/>
      <c r="G25" s="6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2.75" customHeight="1">
      <c r="A26" s="256">
        <v>9</v>
      </c>
      <c r="B26" s="116" t="s">
        <v>232</v>
      </c>
      <c r="C26" s="257" t="s">
        <v>414</v>
      </c>
      <c r="D26" s="117"/>
      <c r="E26" s="61"/>
      <c r="F26" s="61"/>
      <c r="G26" s="6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.5" customHeight="1">
      <c r="A27" s="150"/>
      <c r="B27" s="116" t="s">
        <v>233</v>
      </c>
      <c r="C27" s="257"/>
      <c r="D27" s="117"/>
      <c r="E27" s="61"/>
      <c r="F27" s="61"/>
      <c r="G27" s="6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2" customHeight="1">
      <c r="A28" s="256">
        <v>10</v>
      </c>
      <c r="B28" s="116" t="s">
        <v>232</v>
      </c>
      <c r="C28" s="260" t="s">
        <v>417</v>
      </c>
      <c r="D28" s="117"/>
      <c r="E28" s="61"/>
      <c r="F28" s="61"/>
      <c r="G28" s="6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1.25" customHeight="1">
      <c r="A29" s="150"/>
      <c r="B29" s="116" t="s">
        <v>233</v>
      </c>
      <c r="C29" s="257"/>
      <c r="D29" s="117"/>
      <c r="E29" s="61"/>
      <c r="F29" s="61"/>
      <c r="G29" s="6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3.75" customHeight="1">
      <c r="A30" s="256">
        <v>11</v>
      </c>
      <c r="B30" s="116" t="s">
        <v>232</v>
      </c>
      <c r="C30" s="257" t="s">
        <v>415</v>
      </c>
      <c r="D30" s="117"/>
      <c r="E30" s="61"/>
      <c r="F30" s="61"/>
      <c r="G30" s="6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6" customHeight="1">
      <c r="A31" s="150"/>
      <c r="B31" s="116" t="s">
        <v>233</v>
      </c>
      <c r="C31" s="257"/>
      <c r="D31" s="117"/>
      <c r="E31" s="61"/>
      <c r="F31" s="61"/>
      <c r="G31" s="6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2.25" customHeight="1">
      <c r="A32" s="256">
        <v>12</v>
      </c>
      <c r="B32" s="116" t="s">
        <v>232</v>
      </c>
      <c r="C32" s="257" t="s">
        <v>416</v>
      </c>
      <c r="D32" s="117"/>
      <c r="E32" s="61"/>
      <c r="F32" s="61"/>
      <c r="G32" s="6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2.25" customHeight="1">
      <c r="A33" s="150"/>
      <c r="B33" s="116" t="s">
        <v>233</v>
      </c>
      <c r="C33" s="257"/>
      <c r="D33" s="117"/>
      <c r="E33" s="61"/>
      <c r="F33" s="61"/>
      <c r="G33" s="6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258" t="s">
        <v>226</v>
      </c>
      <c r="B34" s="128"/>
      <c r="C34" s="259"/>
      <c r="D34" s="211"/>
      <c r="E34" s="128"/>
      <c r="F34" s="128"/>
      <c r="G34" s="12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258" t="s">
        <v>239</v>
      </c>
      <c r="B35" s="128"/>
      <c r="C35" s="128"/>
      <c r="D35" s="128"/>
      <c r="E35" s="126"/>
      <c r="F35" s="131" t="s">
        <v>172</v>
      </c>
      <c r="G35" s="12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43" t="s">
        <v>240</v>
      </c>
      <c r="B39" s="144"/>
      <c r="C39" s="144"/>
      <c r="D39" s="144"/>
      <c r="E39" s="144"/>
      <c r="F39" s="144"/>
      <c r="G39" s="14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40">
    <mergeCell ref="A1:G1"/>
    <mergeCell ref="A2:G2"/>
    <mergeCell ref="A3:G3"/>
    <mergeCell ref="A4:G4"/>
    <mergeCell ref="A5:B5"/>
    <mergeCell ref="A6:B6"/>
    <mergeCell ref="C6:E6"/>
    <mergeCell ref="A7:B7"/>
    <mergeCell ref="C7:D7"/>
    <mergeCell ref="E7:G7"/>
    <mergeCell ref="A8:G8"/>
    <mergeCell ref="A10:A11"/>
    <mergeCell ref="C10:C11"/>
    <mergeCell ref="C12:C13"/>
    <mergeCell ref="C18:C19"/>
    <mergeCell ref="C20:C21"/>
    <mergeCell ref="A12:A13"/>
    <mergeCell ref="A14:A15"/>
    <mergeCell ref="A16:A17"/>
    <mergeCell ref="A18:A19"/>
    <mergeCell ref="A20:A21"/>
    <mergeCell ref="C16:C17"/>
    <mergeCell ref="C14:C15"/>
    <mergeCell ref="A28:A29"/>
    <mergeCell ref="A30:A31"/>
    <mergeCell ref="A32:A33"/>
    <mergeCell ref="C30:C31"/>
    <mergeCell ref="C32:C33"/>
    <mergeCell ref="C28:C29"/>
    <mergeCell ref="A34:C34"/>
    <mergeCell ref="D34:G34"/>
    <mergeCell ref="A35:E35"/>
    <mergeCell ref="F35:G35"/>
    <mergeCell ref="A39:G39"/>
    <mergeCell ref="A22:A23"/>
    <mergeCell ref="C22:C23"/>
    <mergeCell ref="A24:A25"/>
    <mergeCell ref="C24:C25"/>
    <mergeCell ref="A26:A27"/>
    <mergeCell ref="C26:C27"/>
  </mergeCells>
  <pageMargins left="0.7" right="0.7" top="0.75" bottom="0.75" header="0" footer="0"/>
  <pageSetup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2" width="14.42578125" customWidth="1"/>
    <col min="3" max="3" width="25.85546875" customWidth="1"/>
    <col min="4" max="5" width="14.42578125" customWidth="1"/>
    <col min="6" max="6" width="16.42578125" customWidth="1"/>
    <col min="7" max="7" width="19.85546875" customWidth="1"/>
  </cols>
  <sheetData>
    <row r="1" spans="1:26" ht="18.75">
      <c r="A1" s="263" t="s">
        <v>99</v>
      </c>
      <c r="B1" s="190"/>
      <c r="C1" s="190"/>
      <c r="D1" s="190"/>
      <c r="E1" s="190"/>
      <c r="F1" s="190"/>
      <c r="G1" s="13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18" t="s">
        <v>204</v>
      </c>
      <c r="B2" s="145"/>
      <c r="C2" s="145"/>
      <c r="D2" s="145"/>
      <c r="E2" s="145"/>
      <c r="F2" s="145"/>
      <c r="G2" s="14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31" t="s">
        <v>241</v>
      </c>
      <c r="B3" s="128"/>
      <c r="C3" s="128"/>
      <c r="D3" s="128"/>
      <c r="E3" s="128"/>
      <c r="F3" s="128"/>
      <c r="G3" s="12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84" t="s">
        <v>225</v>
      </c>
      <c r="B4" s="128"/>
      <c r="C4" s="128"/>
      <c r="D4" s="128"/>
      <c r="E4" s="128"/>
      <c r="F4" s="128"/>
      <c r="G4" s="12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15" t="s">
        <v>207</v>
      </c>
      <c r="B5" s="126"/>
      <c r="C5" s="74" t="str">
        <f>'Course Information'!$F$5</f>
        <v>2026-27</v>
      </c>
      <c r="D5" s="75" t="s">
        <v>102</v>
      </c>
      <c r="E5" s="8" t="str">
        <f>'Course Information'!N5</f>
        <v>III</v>
      </c>
      <c r="F5" s="75" t="s">
        <v>131</v>
      </c>
      <c r="G5" s="7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15" t="s">
        <v>208</v>
      </c>
      <c r="B6" s="126"/>
      <c r="C6" s="255" t="str">
        <f>'Course Information'!$F$6</f>
        <v>DATA STRUCTURE AND APPLICATIONS</v>
      </c>
      <c r="D6" s="128"/>
      <c r="E6" s="126"/>
      <c r="F6" s="77" t="s">
        <v>106</v>
      </c>
      <c r="G6" s="61" t="str">
        <f>'Course Information'!$F$7</f>
        <v>1BCS305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15" t="s">
        <v>212</v>
      </c>
      <c r="B7" s="126"/>
      <c r="C7" s="215" t="str">
        <f>'Course Information'!F8</f>
        <v>Thara K L</v>
      </c>
      <c r="D7" s="126"/>
      <c r="E7" s="215" t="s">
        <v>214</v>
      </c>
      <c r="F7" s="128"/>
      <c r="G7" s="12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215" t="s">
        <v>242</v>
      </c>
      <c r="B8" s="128"/>
      <c r="C8" s="128"/>
      <c r="D8" s="128"/>
      <c r="E8" s="128"/>
      <c r="F8" s="128"/>
      <c r="G8" s="12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3.75">
      <c r="A9" s="78" t="s">
        <v>216</v>
      </c>
      <c r="B9" s="77" t="s">
        <v>217</v>
      </c>
      <c r="C9" s="77" t="s">
        <v>218</v>
      </c>
      <c r="D9" s="80" t="s">
        <v>219</v>
      </c>
      <c r="E9" s="80" t="s">
        <v>220</v>
      </c>
      <c r="F9" s="81" t="s">
        <v>222</v>
      </c>
      <c r="G9" s="80" t="s">
        <v>223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>
      <c r="A10" s="15">
        <v>1</v>
      </c>
      <c r="B10" s="251" t="s">
        <v>224</v>
      </c>
      <c r="C10" s="61"/>
      <c r="D10" s="76"/>
      <c r="E10" s="61"/>
      <c r="F10" s="61"/>
      <c r="G10" s="6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25" customHeight="1">
      <c r="A11" s="15">
        <v>2</v>
      </c>
      <c r="B11" s="150"/>
      <c r="C11" s="61"/>
      <c r="D11" s="76"/>
      <c r="E11" s="61"/>
      <c r="F11" s="61"/>
      <c r="G11" s="6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25" customHeight="1">
      <c r="A12" s="15">
        <v>3</v>
      </c>
      <c r="B12" s="150"/>
      <c r="C12" s="61"/>
      <c r="D12" s="76"/>
      <c r="E12" s="61"/>
      <c r="F12" s="61"/>
      <c r="G12" s="6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.25" customHeight="1">
      <c r="A13" s="15">
        <v>4</v>
      </c>
      <c r="B13" s="150"/>
      <c r="C13" s="61"/>
      <c r="D13" s="76"/>
      <c r="E13" s="61"/>
      <c r="F13" s="61"/>
      <c r="G13" s="6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3.25" customHeight="1">
      <c r="A14" s="15">
        <v>5</v>
      </c>
      <c r="B14" s="150"/>
      <c r="C14" s="61"/>
      <c r="D14" s="76"/>
      <c r="E14" s="61"/>
      <c r="F14" s="61"/>
      <c r="G14" s="6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3.25" customHeight="1">
      <c r="A15" s="15">
        <v>6</v>
      </c>
      <c r="B15" s="150"/>
      <c r="C15" s="61"/>
      <c r="D15" s="76"/>
      <c r="E15" s="61"/>
      <c r="F15" s="61"/>
      <c r="G15" s="6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3.25" customHeight="1">
      <c r="A16" s="15">
        <v>7</v>
      </c>
      <c r="B16" s="150"/>
      <c r="C16" s="61"/>
      <c r="D16" s="76"/>
      <c r="E16" s="61"/>
      <c r="F16" s="61"/>
      <c r="G16" s="6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.25" customHeight="1">
      <c r="A17" s="15">
        <v>8</v>
      </c>
      <c r="B17" s="151"/>
      <c r="C17" s="61"/>
      <c r="D17" s="76"/>
      <c r="E17" s="61"/>
      <c r="F17" s="61"/>
      <c r="G17" s="6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3.25" customHeight="1">
      <c r="A18" s="258" t="s">
        <v>226</v>
      </c>
      <c r="B18" s="128"/>
      <c r="C18" s="126"/>
      <c r="D18" s="211"/>
      <c r="E18" s="128"/>
      <c r="F18" s="128"/>
      <c r="G18" s="12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25" customHeight="1">
      <c r="A19" s="258" t="s">
        <v>227</v>
      </c>
      <c r="B19" s="128"/>
      <c r="C19" s="128"/>
      <c r="D19" s="128"/>
      <c r="E19" s="126"/>
      <c r="F19" s="131" t="s">
        <v>172</v>
      </c>
      <c r="G19" s="1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.25" customHeight="1">
      <c r="A20" s="15">
        <v>9</v>
      </c>
      <c r="B20" s="251" t="s">
        <v>228</v>
      </c>
      <c r="C20" s="61"/>
      <c r="D20" s="76"/>
      <c r="E20" s="61"/>
      <c r="F20" s="61"/>
      <c r="G20" s="6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25" customHeight="1">
      <c r="A21" s="15">
        <v>10</v>
      </c>
      <c r="B21" s="150"/>
      <c r="C21" s="61"/>
      <c r="D21" s="76"/>
      <c r="E21" s="61"/>
      <c r="F21" s="61"/>
      <c r="G21" s="6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25" customHeight="1">
      <c r="A22" s="15">
        <v>11</v>
      </c>
      <c r="B22" s="150"/>
      <c r="C22" s="61"/>
      <c r="D22" s="76"/>
      <c r="E22" s="61"/>
      <c r="F22" s="61"/>
      <c r="G22" s="6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.25" customHeight="1">
      <c r="A23" s="15">
        <v>12</v>
      </c>
      <c r="B23" s="150"/>
      <c r="C23" s="61"/>
      <c r="D23" s="76"/>
      <c r="E23" s="61"/>
      <c r="F23" s="61"/>
      <c r="G23" s="6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25" customHeight="1">
      <c r="A24" s="15">
        <v>13</v>
      </c>
      <c r="B24" s="150"/>
      <c r="C24" s="61"/>
      <c r="D24" s="76"/>
      <c r="E24" s="61"/>
      <c r="F24" s="61"/>
      <c r="G24" s="6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3.25" customHeight="1">
      <c r="A25" s="15">
        <v>14</v>
      </c>
      <c r="B25" s="150"/>
      <c r="C25" s="61"/>
      <c r="D25" s="76"/>
      <c r="E25" s="61"/>
      <c r="F25" s="61"/>
      <c r="G25" s="6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3.25" customHeight="1">
      <c r="A26" s="15">
        <v>15</v>
      </c>
      <c r="B26" s="150"/>
      <c r="C26" s="61"/>
      <c r="D26" s="76"/>
      <c r="E26" s="61"/>
      <c r="F26" s="61"/>
      <c r="G26" s="6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3.25" customHeight="1">
      <c r="A27" s="15">
        <v>16</v>
      </c>
      <c r="B27" s="151"/>
      <c r="C27" s="61"/>
      <c r="D27" s="76"/>
      <c r="E27" s="61"/>
      <c r="F27" s="61"/>
      <c r="G27" s="6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3.25" customHeight="1">
      <c r="A28" s="258" t="s">
        <v>226</v>
      </c>
      <c r="B28" s="128"/>
      <c r="C28" s="126"/>
      <c r="D28" s="211"/>
      <c r="E28" s="128"/>
      <c r="F28" s="128"/>
      <c r="G28" s="12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3.25" customHeight="1">
      <c r="A29" s="258" t="s">
        <v>227</v>
      </c>
      <c r="B29" s="128"/>
      <c r="C29" s="128"/>
      <c r="D29" s="128"/>
      <c r="E29" s="126"/>
      <c r="F29" s="131" t="s">
        <v>172</v>
      </c>
      <c r="G29" s="12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3.25" customHeight="1">
      <c r="A30" s="15">
        <v>17</v>
      </c>
      <c r="B30" s="251" t="s">
        <v>235</v>
      </c>
      <c r="C30" s="61"/>
      <c r="D30" s="76"/>
      <c r="E30" s="61"/>
      <c r="F30" s="61"/>
      <c r="G30" s="6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3.25" customHeight="1">
      <c r="A31" s="15">
        <v>18</v>
      </c>
      <c r="B31" s="150"/>
      <c r="C31" s="61"/>
      <c r="D31" s="76"/>
      <c r="E31" s="61"/>
      <c r="F31" s="61"/>
      <c r="G31" s="6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3.25" customHeight="1">
      <c r="A32" s="15">
        <v>19</v>
      </c>
      <c r="B32" s="150"/>
      <c r="C32" s="61"/>
      <c r="D32" s="76"/>
      <c r="E32" s="61"/>
      <c r="F32" s="61"/>
      <c r="G32" s="6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.25" customHeight="1">
      <c r="A33" s="15">
        <v>20</v>
      </c>
      <c r="B33" s="150"/>
      <c r="C33" s="61"/>
      <c r="D33" s="76"/>
      <c r="E33" s="61"/>
      <c r="F33" s="61"/>
      <c r="G33" s="6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25" customHeight="1">
      <c r="A34" s="15">
        <v>21</v>
      </c>
      <c r="B34" s="150"/>
      <c r="C34" s="61"/>
      <c r="D34" s="76"/>
      <c r="E34" s="61"/>
      <c r="F34" s="61"/>
      <c r="G34" s="6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3.25" customHeight="1">
      <c r="A35" s="15">
        <v>22</v>
      </c>
      <c r="B35" s="150"/>
      <c r="C35" s="61"/>
      <c r="D35" s="76"/>
      <c r="E35" s="61"/>
      <c r="F35" s="61"/>
      <c r="G35" s="6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3.25" customHeight="1">
      <c r="A36" s="15">
        <v>23</v>
      </c>
      <c r="B36" s="150"/>
      <c r="C36" s="61"/>
      <c r="D36" s="76"/>
      <c r="E36" s="61"/>
      <c r="F36" s="61"/>
      <c r="G36" s="6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3.25" customHeight="1">
      <c r="A37" s="15">
        <v>24</v>
      </c>
      <c r="B37" s="151"/>
      <c r="C37" s="61"/>
      <c r="D37" s="76"/>
      <c r="E37" s="61"/>
      <c r="F37" s="61"/>
      <c r="G37" s="6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3.25" customHeight="1">
      <c r="A38" s="258" t="s">
        <v>226</v>
      </c>
      <c r="B38" s="128"/>
      <c r="C38" s="126"/>
      <c r="D38" s="211"/>
      <c r="E38" s="128"/>
      <c r="F38" s="128"/>
      <c r="G38" s="12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3.25" customHeight="1">
      <c r="A39" s="258" t="s">
        <v>227</v>
      </c>
      <c r="B39" s="128"/>
      <c r="C39" s="128"/>
      <c r="D39" s="128"/>
      <c r="E39" s="126"/>
      <c r="F39" s="131" t="s">
        <v>172</v>
      </c>
      <c r="G39" s="12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3.25" customHeight="1">
      <c r="A40" s="15">
        <v>25</v>
      </c>
      <c r="B40" s="251" t="s">
        <v>236</v>
      </c>
      <c r="C40" s="61"/>
      <c r="D40" s="76"/>
      <c r="E40" s="61"/>
      <c r="F40" s="61"/>
      <c r="G40" s="6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3.25" customHeight="1">
      <c r="A41" s="15">
        <v>26</v>
      </c>
      <c r="B41" s="150"/>
      <c r="C41" s="61"/>
      <c r="D41" s="76"/>
      <c r="E41" s="61"/>
      <c r="F41" s="61"/>
      <c r="G41" s="6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3.25" customHeight="1">
      <c r="A42" s="15">
        <v>27</v>
      </c>
      <c r="B42" s="150"/>
      <c r="C42" s="61"/>
      <c r="D42" s="76"/>
      <c r="E42" s="61"/>
      <c r="F42" s="61"/>
      <c r="G42" s="6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25" customHeight="1">
      <c r="A43" s="15">
        <v>28</v>
      </c>
      <c r="B43" s="150"/>
      <c r="C43" s="61"/>
      <c r="D43" s="76"/>
      <c r="E43" s="61"/>
      <c r="F43" s="61"/>
      <c r="G43" s="6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3.25" customHeight="1">
      <c r="A44" s="15">
        <v>29</v>
      </c>
      <c r="B44" s="150"/>
      <c r="C44" s="61"/>
      <c r="D44" s="76"/>
      <c r="E44" s="61"/>
      <c r="F44" s="61"/>
      <c r="G44" s="6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25" customHeight="1">
      <c r="A45" s="15">
        <v>30</v>
      </c>
      <c r="B45" s="150"/>
      <c r="C45" s="61"/>
      <c r="D45" s="76"/>
      <c r="E45" s="61"/>
      <c r="F45" s="61"/>
      <c r="G45" s="6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3.25" customHeight="1">
      <c r="A46" s="15">
        <v>31</v>
      </c>
      <c r="B46" s="150"/>
      <c r="C46" s="61"/>
      <c r="D46" s="76"/>
      <c r="E46" s="61"/>
      <c r="F46" s="61"/>
      <c r="G46" s="6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3.25" customHeight="1">
      <c r="A47" s="15">
        <v>32</v>
      </c>
      <c r="B47" s="151"/>
      <c r="C47" s="61"/>
      <c r="D47" s="76"/>
      <c r="E47" s="61"/>
      <c r="F47" s="61"/>
      <c r="G47" s="6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3.25" customHeight="1">
      <c r="A48" s="258" t="s">
        <v>226</v>
      </c>
      <c r="B48" s="128"/>
      <c r="C48" s="126"/>
      <c r="D48" s="211"/>
      <c r="E48" s="128"/>
      <c r="F48" s="128"/>
      <c r="G48" s="12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.25" customHeight="1">
      <c r="A49" s="258" t="s">
        <v>227</v>
      </c>
      <c r="B49" s="128"/>
      <c r="C49" s="128"/>
      <c r="D49" s="128"/>
      <c r="E49" s="126"/>
      <c r="F49" s="131" t="s">
        <v>172</v>
      </c>
      <c r="G49" s="12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3.25" customHeight="1">
      <c r="A50" s="15">
        <v>33</v>
      </c>
      <c r="B50" s="251" t="s">
        <v>237</v>
      </c>
      <c r="C50" s="61"/>
      <c r="D50" s="76"/>
      <c r="E50" s="61"/>
      <c r="F50" s="61"/>
      <c r="G50" s="6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.25" customHeight="1">
      <c r="A51" s="15">
        <v>34</v>
      </c>
      <c r="B51" s="150"/>
      <c r="C51" s="61"/>
      <c r="D51" s="76"/>
      <c r="E51" s="61"/>
      <c r="F51" s="61"/>
      <c r="G51" s="6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3.25" customHeight="1">
      <c r="A52" s="15">
        <v>35</v>
      </c>
      <c r="B52" s="150"/>
      <c r="C52" s="61"/>
      <c r="D52" s="76"/>
      <c r="E52" s="61"/>
      <c r="F52" s="61"/>
      <c r="G52" s="61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3.25" customHeight="1">
      <c r="A53" s="15">
        <v>36</v>
      </c>
      <c r="B53" s="150"/>
      <c r="C53" s="61"/>
      <c r="D53" s="76"/>
      <c r="E53" s="61"/>
      <c r="F53" s="61"/>
      <c r="G53" s="6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3.25" customHeight="1">
      <c r="A54" s="15">
        <v>37</v>
      </c>
      <c r="B54" s="150"/>
      <c r="C54" s="61"/>
      <c r="D54" s="76"/>
      <c r="E54" s="61"/>
      <c r="F54" s="61"/>
      <c r="G54" s="6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3.25" customHeight="1">
      <c r="A55" s="15">
        <v>38</v>
      </c>
      <c r="B55" s="150"/>
      <c r="C55" s="61"/>
      <c r="D55" s="76"/>
      <c r="E55" s="61"/>
      <c r="F55" s="61"/>
      <c r="G55" s="6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3.25" customHeight="1">
      <c r="A56" s="15">
        <v>39</v>
      </c>
      <c r="B56" s="150"/>
      <c r="C56" s="61"/>
      <c r="D56" s="76"/>
      <c r="E56" s="61"/>
      <c r="F56" s="61"/>
      <c r="G56" s="6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3.25" customHeight="1">
      <c r="A57" s="15">
        <v>40</v>
      </c>
      <c r="B57" s="151"/>
      <c r="C57" s="61"/>
      <c r="D57" s="76"/>
      <c r="E57" s="61"/>
      <c r="F57" s="61"/>
      <c r="G57" s="6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3.25" customHeight="1">
      <c r="A58" s="258" t="s">
        <v>226</v>
      </c>
      <c r="B58" s="128"/>
      <c r="C58" s="126"/>
      <c r="D58" s="211"/>
      <c r="E58" s="128"/>
      <c r="F58" s="128"/>
      <c r="G58" s="12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.25" customHeight="1">
      <c r="A59" s="258" t="s">
        <v>227</v>
      </c>
      <c r="B59" s="128"/>
      <c r="C59" s="128"/>
      <c r="D59" s="128"/>
      <c r="E59" s="126"/>
      <c r="F59" s="131" t="s">
        <v>172</v>
      </c>
      <c r="G59" s="12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3.25" customHeight="1">
      <c r="A60" s="78" t="s">
        <v>229</v>
      </c>
      <c r="B60" s="77" t="s">
        <v>230</v>
      </c>
      <c r="C60" s="77" t="s">
        <v>231</v>
      </c>
      <c r="D60" s="80" t="s">
        <v>219</v>
      </c>
      <c r="E60" s="80" t="s">
        <v>220</v>
      </c>
      <c r="F60" s="81" t="s">
        <v>222</v>
      </c>
      <c r="G60" s="80" t="s">
        <v>223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.25" customHeight="1">
      <c r="A61" s="256">
        <v>1</v>
      </c>
      <c r="B61" s="15" t="s">
        <v>232</v>
      </c>
      <c r="C61" s="265"/>
      <c r="D61" s="76"/>
      <c r="E61" s="61"/>
      <c r="F61" s="61"/>
      <c r="G61" s="6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3.25" customHeight="1">
      <c r="A62" s="150"/>
      <c r="B62" s="15" t="s">
        <v>233</v>
      </c>
      <c r="C62" s="150"/>
      <c r="D62" s="76"/>
      <c r="E62" s="61"/>
      <c r="F62" s="61"/>
      <c r="G62" s="6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.25" customHeight="1">
      <c r="A63" s="151"/>
      <c r="B63" s="15" t="s">
        <v>234</v>
      </c>
      <c r="C63" s="151"/>
      <c r="D63" s="76"/>
      <c r="E63" s="61"/>
      <c r="F63" s="61"/>
      <c r="G63" s="61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.25" customHeight="1">
      <c r="A64" s="256">
        <v>2</v>
      </c>
      <c r="B64" s="15" t="s">
        <v>232</v>
      </c>
      <c r="C64" s="265"/>
      <c r="D64" s="76"/>
      <c r="E64" s="61"/>
      <c r="F64" s="61"/>
      <c r="G64" s="6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.25" customHeight="1">
      <c r="A65" s="150"/>
      <c r="B65" s="15" t="s">
        <v>233</v>
      </c>
      <c r="C65" s="150"/>
      <c r="D65" s="76"/>
      <c r="E65" s="61"/>
      <c r="F65" s="61"/>
      <c r="G65" s="6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3.25" customHeight="1">
      <c r="A66" s="151"/>
      <c r="B66" s="15" t="s">
        <v>234</v>
      </c>
      <c r="C66" s="151"/>
      <c r="D66" s="76"/>
      <c r="E66" s="61"/>
      <c r="F66" s="61"/>
      <c r="G66" s="6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3.25" customHeight="1">
      <c r="A67" s="256">
        <v>3</v>
      </c>
      <c r="B67" s="15" t="s">
        <v>232</v>
      </c>
      <c r="C67" s="265"/>
      <c r="D67" s="76"/>
      <c r="E67" s="61"/>
      <c r="F67" s="61"/>
      <c r="G67" s="6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3.25" customHeight="1">
      <c r="A68" s="150"/>
      <c r="B68" s="15" t="s">
        <v>233</v>
      </c>
      <c r="C68" s="150"/>
      <c r="D68" s="76"/>
      <c r="E68" s="61"/>
      <c r="F68" s="61"/>
      <c r="G68" s="6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3.25" customHeight="1">
      <c r="A69" s="151"/>
      <c r="B69" s="15" t="s">
        <v>234</v>
      </c>
      <c r="C69" s="151"/>
      <c r="D69" s="76"/>
      <c r="E69" s="61"/>
      <c r="F69" s="61"/>
      <c r="G69" s="6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3.25" customHeight="1">
      <c r="A70" s="256">
        <v>4</v>
      </c>
      <c r="B70" s="15" t="s">
        <v>232</v>
      </c>
      <c r="C70" s="265"/>
      <c r="D70" s="76"/>
      <c r="E70" s="61"/>
      <c r="F70" s="61"/>
      <c r="G70" s="6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3.25" customHeight="1">
      <c r="A71" s="150"/>
      <c r="B71" s="15" t="s">
        <v>233</v>
      </c>
      <c r="C71" s="150"/>
      <c r="D71" s="76"/>
      <c r="E71" s="61"/>
      <c r="F71" s="61"/>
      <c r="G71" s="6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3.25" customHeight="1">
      <c r="A72" s="151"/>
      <c r="B72" s="15" t="s">
        <v>234</v>
      </c>
      <c r="C72" s="151"/>
      <c r="D72" s="76"/>
      <c r="E72" s="61"/>
      <c r="F72" s="61"/>
      <c r="G72" s="6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3.25" customHeight="1">
      <c r="A73" s="256">
        <v>5</v>
      </c>
      <c r="B73" s="15" t="s">
        <v>232</v>
      </c>
      <c r="C73" s="265"/>
      <c r="D73" s="76"/>
      <c r="E73" s="61"/>
      <c r="F73" s="61"/>
      <c r="G73" s="6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3.25" customHeight="1">
      <c r="A74" s="150"/>
      <c r="B74" s="15" t="s">
        <v>233</v>
      </c>
      <c r="C74" s="150"/>
      <c r="D74" s="76"/>
      <c r="E74" s="61"/>
      <c r="F74" s="61"/>
      <c r="G74" s="6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3.25" customHeight="1">
      <c r="A75" s="151"/>
      <c r="B75" s="15" t="s">
        <v>234</v>
      </c>
      <c r="C75" s="151"/>
      <c r="D75" s="76"/>
      <c r="E75" s="61"/>
      <c r="F75" s="61"/>
      <c r="G75" s="6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.25" customHeight="1">
      <c r="A76" s="256">
        <v>6</v>
      </c>
      <c r="B76" s="15" t="s">
        <v>232</v>
      </c>
      <c r="C76" s="265"/>
      <c r="D76" s="76"/>
      <c r="E76" s="61"/>
      <c r="F76" s="61"/>
      <c r="G76" s="6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.25" customHeight="1">
      <c r="A77" s="150"/>
      <c r="B77" s="15" t="s">
        <v>233</v>
      </c>
      <c r="C77" s="150"/>
      <c r="D77" s="76"/>
      <c r="E77" s="61"/>
      <c r="F77" s="61"/>
      <c r="G77" s="6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3.25" customHeight="1">
      <c r="A78" s="151"/>
      <c r="B78" s="15" t="s">
        <v>234</v>
      </c>
      <c r="C78" s="151"/>
      <c r="D78" s="76"/>
      <c r="E78" s="61"/>
      <c r="F78" s="61"/>
      <c r="G78" s="6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3.25" customHeight="1">
      <c r="A79" s="256">
        <v>7</v>
      </c>
      <c r="B79" s="15" t="s">
        <v>232</v>
      </c>
      <c r="C79" s="265"/>
      <c r="D79" s="76"/>
      <c r="E79" s="61"/>
      <c r="F79" s="61"/>
      <c r="G79" s="6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3.25" customHeight="1">
      <c r="A80" s="150"/>
      <c r="B80" s="15" t="s">
        <v>233</v>
      </c>
      <c r="C80" s="150"/>
      <c r="D80" s="76"/>
      <c r="E80" s="61"/>
      <c r="F80" s="61"/>
      <c r="G80" s="6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3.25" customHeight="1">
      <c r="A81" s="151"/>
      <c r="B81" s="15" t="s">
        <v>234</v>
      </c>
      <c r="C81" s="151"/>
      <c r="D81" s="76"/>
      <c r="E81" s="61"/>
      <c r="F81" s="61"/>
      <c r="G81" s="6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3.25" customHeight="1">
      <c r="A82" s="256">
        <v>8</v>
      </c>
      <c r="B82" s="15" t="s">
        <v>232</v>
      </c>
      <c r="C82" s="265"/>
      <c r="D82" s="76"/>
      <c r="E82" s="61"/>
      <c r="F82" s="61"/>
      <c r="G82" s="6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3.25" customHeight="1">
      <c r="A83" s="150"/>
      <c r="B83" s="15" t="s">
        <v>233</v>
      </c>
      <c r="C83" s="150"/>
      <c r="D83" s="76"/>
      <c r="E83" s="61"/>
      <c r="F83" s="61"/>
      <c r="G83" s="6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3.25" customHeight="1">
      <c r="A84" s="151"/>
      <c r="B84" s="15" t="s">
        <v>234</v>
      </c>
      <c r="C84" s="151"/>
      <c r="D84" s="76"/>
      <c r="E84" s="61"/>
      <c r="F84" s="61"/>
      <c r="G84" s="6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143" t="s">
        <v>260</v>
      </c>
      <c r="B88" s="144"/>
      <c r="C88" s="144"/>
      <c r="D88" s="144"/>
      <c r="E88" s="144"/>
      <c r="F88" s="144"/>
      <c r="G88" s="14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8:G8"/>
    <mergeCell ref="B10:B17"/>
    <mergeCell ref="A18:C18"/>
    <mergeCell ref="A67:A69"/>
    <mergeCell ref="A70:A72"/>
    <mergeCell ref="C67:C69"/>
    <mergeCell ref="C70:C72"/>
    <mergeCell ref="A58:C58"/>
    <mergeCell ref="A61:A63"/>
    <mergeCell ref="C61:C63"/>
    <mergeCell ref="A64:A66"/>
    <mergeCell ref="C64:C66"/>
    <mergeCell ref="D18:G18"/>
    <mergeCell ref="A19:E19"/>
    <mergeCell ref="F19:G19"/>
    <mergeCell ref="B20:B27"/>
    <mergeCell ref="A6:B6"/>
    <mergeCell ref="C6:E6"/>
    <mergeCell ref="A7:B7"/>
    <mergeCell ref="C7:D7"/>
    <mergeCell ref="E7:G7"/>
    <mergeCell ref="A1:G1"/>
    <mergeCell ref="A2:G2"/>
    <mergeCell ref="A3:G3"/>
    <mergeCell ref="A4:G4"/>
    <mergeCell ref="A5:B5"/>
    <mergeCell ref="A28:C28"/>
    <mergeCell ref="D28:G28"/>
    <mergeCell ref="A29:E29"/>
    <mergeCell ref="F29:G29"/>
    <mergeCell ref="B30:B37"/>
    <mergeCell ref="A76:A78"/>
    <mergeCell ref="A38:C38"/>
    <mergeCell ref="D38:G38"/>
    <mergeCell ref="A39:E39"/>
    <mergeCell ref="F39:G39"/>
    <mergeCell ref="B40:B47"/>
    <mergeCell ref="C76:C78"/>
    <mergeCell ref="D48:G48"/>
    <mergeCell ref="A48:C48"/>
    <mergeCell ref="C82:C84"/>
    <mergeCell ref="A88:G88"/>
    <mergeCell ref="A49:E49"/>
    <mergeCell ref="F49:G49"/>
    <mergeCell ref="B50:B57"/>
    <mergeCell ref="D58:G58"/>
    <mergeCell ref="A59:E59"/>
    <mergeCell ref="F59:G59"/>
    <mergeCell ref="A79:A81"/>
    <mergeCell ref="C79:C81"/>
    <mergeCell ref="A82:A84"/>
    <mergeCell ref="A73:A75"/>
    <mergeCell ref="C73:C75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14.42578125" customWidth="1"/>
    <col min="2" max="2" width="20.42578125" customWidth="1"/>
    <col min="3" max="3" width="17.5703125" customWidth="1"/>
    <col min="4" max="4" width="18.5703125" customWidth="1"/>
    <col min="5" max="6" width="14.42578125" customWidth="1"/>
  </cols>
  <sheetData>
    <row r="1" spans="1:26" ht="18.75">
      <c r="A1" s="263" t="s">
        <v>99</v>
      </c>
      <c r="B1" s="190"/>
      <c r="C1" s="190"/>
      <c r="D1" s="190"/>
      <c r="E1" s="190"/>
      <c r="F1" s="190"/>
      <c r="G1" s="190"/>
      <c r="H1" s="190"/>
      <c r="I1" s="1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71" t="s">
        <v>100</v>
      </c>
      <c r="B2" s="144"/>
      <c r="C2" s="144"/>
      <c r="D2" s="144"/>
      <c r="E2" s="144"/>
      <c r="F2" s="144"/>
      <c r="G2" s="144"/>
      <c r="H2" s="144"/>
      <c r="I2" s="14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18" t="s">
        <v>243</v>
      </c>
      <c r="B3" s="145"/>
      <c r="C3" s="145"/>
      <c r="D3" s="145"/>
      <c r="E3" s="145"/>
      <c r="F3" s="145"/>
      <c r="G3" s="145"/>
      <c r="H3" s="145"/>
      <c r="I3" s="14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272" t="s">
        <v>244</v>
      </c>
      <c r="B4" s="273"/>
      <c r="C4" s="273"/>
      <c r="D4" s="273"/>
      <c r="E4" s="273"/>
      <c r="F4" s="273"/>
      <c r="G4" s="273"/>
      <c r="H4" s="273"/>
      <c r="I4" s="25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>
      <c r="A5" s="175" t="s">
        <v>101</v>
      </c>
      <c r="B5" s="126"/>
      <c r="C5" s="274" t="str">
        <f>'Course Information'!$F$5</f>
        <v>2026-27</v>
      </c>
      <c r="D5" s="128"/>
      <c r="E5" s="128"/>
      <c r="F5" s="128"/>
      <c r="G5" s="128"/>
      <c r="H5" s="128"/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>
      <c r="A6" s="175" t="s">
        <v>102</v>
      </c>
      <c r="B6" s="126"/>
      <c r="C6" s="8" t="str">
        <f>'Course Information'!N5</f>
        <v>III</v>
      </c>
      <c r="D6" s="75" t="s">
        <v>104</v>
      </c>
      <c r="E6" s="211" t="str">
        <f>'Course Information'!P5</f>
        <v>A</v>
      </c>
      <c r="F6" s="126"/>
      <c r="G6" s="77" t="s">
        <v>131</v>
      </c>
      <c r="H6" s="211"/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>
      <c r="A7" s="266" t="s">
        <v>247</v>
      </c>
      <c r="B7" s="128"/>
      <c r="C7" s="128"/>
      <c r="D7" s="128"/>
      <c r="E7" s="267" t="s">
        <v>248</v>
      </c>
      <c r="F7" s="128"/>
      <c r="G7" s="269" t="s">
        <v>249</v>
      </c>
      <c r="H7" s="128"/>
      <c r="I7" s="1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>
      <c r="A8" s="80" t="s">
        <v>57</v>
      </c>
      <c r="B8" s="77" t="s">
        <v>13</v>
      </c>
      <c r="C8" s="77" t="s">
        <v>17</v>
      </c>
      <c r="D8" s="77" t="s">
        <v>250</v>
      </c>
      <c r="E8" s="175" t="s">
        <v>251</v>
      </c>
      <c r="F8" s="126"/>
      <c r="G8" s="213" t="s">
        <v>252</v>
      </c>
      <c r="H8" s="128"/>
      <c r="I8" s="12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9.5" customHeight="1">
      <c r="A9" s="80">
        <v>1</v>
      </c>
      <c r="B9" s="61"/>
      <c r="C9" s="61"/>
      <c r="D9" s="61"/>
      <c r="E9" s="211"/>
      <c r="F9" s="126"/>
      <c r="G9" s="211"/>
      <c r="H9" s="128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9.5" customHeight="1">
      <c r="A10" s="80">
        <v>2</v>
      </c>
      <c r="B10" s="61"/>
      <c r="C10" s="61"/>
      <c r="D10" s="61"/>
      <c r="E10" s="211"/>
      <c r="F10" s="126"/>
      <c r="G10" s="211"/>
      <c r="H10" s="128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9.5" customHeight="1">
      <c r="A11" s="80">
        <v>3</v>
      </c>
      <c r="B11" s="61"/>
      <c r="C11" s="61"/>
      <c r="D11" s="61"/>
      <c r="E11" s="211"/>
      <c r="F11" s="126"/>
      <c r="G11" s="211"/>
      <c r="H11" s="128"/>
      <c r="I11" s="12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9.5" customHeight="1">
      <c r="A12" s="80">
        <v>4</v>
      </c>
      <c r="B12" s="61"/>
      <c r="C12" s="61"/>
      <c r="D12" s="61"/>
      <c r="E12" s="211"/>
      <c r="F12" s="126"/>
      <c r="G12" s="211"/>
      <c r="H12" s="128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9.5" customHeight="1">
      <c r="A13" s="80">
        <v>5</v>
      </c>
      <c r="B13" s="61"/>
      <c r="C13" s="61"/>
      <c r="D13" s="61"/>
      <c r="E13" s="211"/>
      <c r="F13" s="126"/>
      <c r="G13" s="211"/>
      <c r="H13" s="128"/>
      <c r="I13" s="12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9.5" customHeight="1">
      <c r="A14" s="80">
        <v>6</v>
      </c>
      <c r="B14" s="61"/>
      <c r="C14" s="61"/>
      <c r="D14" s="61"/>
      <c r="E14" s="211"/>
      <c r="F14" s="126"/>
      <c r="G14" s="211"/>
      <c r="H14" s="128"/>
      <c r="I14" s="12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8.25" customHeight="1">
      <c r="A15" s="266" t="s">
        <v>259</v>
      </c>
      <c r="B15" s="128"/>
      <c r="C15" s="128"/>
      <c r="D15" s="128"/>
      <c r="E15" s="267" t="s">
        <v>248</v>
      </c>
      <c r="F15" s="128"/>
      <c r="G15" s="269" t="s">
        <v>249</v>
      </c>
      <c r="H15" s="128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8.25" customHeight="1">
      <c r="A16" s="80" t="s">
        <v>57</v>
      </c>
      <c r="B16" s="175" t="s">
        <v>262</v>
      </c>
      <c r="C16" s="126"/>
      <c r="D16" s="79" t="s">
        <v>250</v>
      </c>
      <c r="E16" s="268" t="s">
        <v>251</v>
      </c>
      <c r="F16" s="138"/>
      <c r="G16" s="270" t="s">
        <v>265</v>
      </c>
      <c r="H16" s="190"/>
      <c r="I16" s="13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51.75" customHeight="1">
      <c r="A17" s="58">
        <v>1</v>
      </c>
      <c r="B17" s="211"/>
      <c r="C17" s="126"/>
      <c r="D17" s="61"/>
      <c r="E17" s="211"/>
      <c r="F17" s="126"/>
      <c r="G17" s="211"/>
      <c r="H17" s="128"/>
      <c r="I17" s="12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198" t="s">
        <v>268</v>
      </c>
      <c r="B21" s="144"/>
      <c r="C21" s="144"/>
      <c r="D21" s="144"/>
      <c r="E21" s="144"/>
      <c r="F21" s="144"/>
      <c r="G21" s="144"/>
      <c r="H21" s="144"/>
      <c r="I21" s="144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E6:F6"/>
    <mergeCell ref="H6:I6"/>
    <mergeCell ref="A1:I1"/>
    <mergeCell ref="A2:I2"/>
    <mergeCell ref="A3:I3"/>
    <mergeCell ref="A4:I4"/>
    <mergeCell ref="A5:B5"/>
    <mergeCell ref="C5:I5"/>
    <mergeCell ref="A6:B6"/>
    <mergeCell ref="A7:D7"/>
    <mergeCell ref="E7:F7"/>
    <mergeCell ref="G7:I7"/>
    <mergeCell ref="E8:F8"/>
    <mergeCell ref="G8:I8"/>
    <mergeCell ref="E9:F9"/>
    <mergeCell ref="G9:I9"/>
    <mergeCell ref="G14:I14"/>
    <mergeCell ref="G15:I15"/>
    <mergeCell ref="G16:I16"/>
    <mergeCell ref="E10:F10"/>
    <mergeCell ref="G10:I10"/>
    <mergeCell ref="E11:F11"/>
    <mergeCell ref="G11:I11"/>
    <mergeCell ref="E12:F12"/>
    <mergeCell ref="G12:I12"/>
    <mergeCell ref="A21:I21"/>
    <mergeCell ref="E13:F13"/>
    <mergeCell ref="E14:F14"/>
    <mergeCell ref="A15:D15"/>
    <mergeCell ref="E15:F15"/>
    <mergeCell ref="B16:C16"/>
    <mergeCell ref="E16:F16"/>
    <mergeCell ref="B17:C17"/>
    <mergeCell ref="G17:I17"/>
    <mergeCell ref="G13:I13"/>
    <mergeCell ref="E17:F17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14.42578125" customWidth="1"/>
    <col min="2" max="2" width="17" customWidth="1"/>
    <col min="3" max="3" width="14.42578125" customWidth="1"/>
    <col min="4" max="4" width="12" customWidth="1"/>
    <col min="5" max="5" width="11.7109375" customWidth="1"/>
    <col min="6" max="6" width="14.42578125" customWidth="1"/>
    <col min="8" max="8" width="4.42578125" customWidth="1"/>
    <col min="9" max="9" width="0.42578125" customWidth="1"/>
  </cols>
  <sheetData>
    <row r="1" spans="1:26" ht="18.75">
      <c r="A1" s="263" t="s">
        <v>99</v>
      </c>
      <c r="B1" s="190"/>
      <c r="C1" s="190"/>
      <c r="D1" s="190"/>
      <c r="E1" s="190"/>
      <c r="F1" s="190"/>
      <c r="G1" s="190"/>
      <c r="H1" s="190"/>
      <c r="I1" s="1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218" t="s">
        <v>100</v>
      </c>
      <c r="B2" s="145"/>
      <c r="C2" s="145"/>
      <c r="D2" s="145"/>
      <c r="E2" s="145"/>
      <c r="F2" s="145"/>
      <c r="G2" s="145"/>
      <c r="H2" s="145"/>
      <c r="I2" s="14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277" t="s">
        <v>245</v>
      </c>
      <c r="B3" s="190"/>
      <c r="C3" s="190"/>
      <c r="D3" s="190"/>
      <c r="E3" s="190"/>
      <c r="F3" s="190"/>
      <c r="G3" s="190"/>
      <c r="H3" s="190"/>
      <c r="I3" s="13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84" t="s">
        <v>246</v>
      </c>
      <c r="B4" s="128"/>
      <c r="C4" s="128"/>
      <c r="D4" s="128"/>
      <c r="E4" s="128"/>
      <c r="F4" s="128"/>
      <c r="G4" s="128"/>
      <c r="H4" s="128"/>
      <c r="I4" s="12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175" t="s">
        <v>101</v>
      </c>
      <c r="B5" s="126"/>
      <c r="C5" s="274" t="str">
        <f>'Course Information'!$F$5</f>
        <v>2026-27</v>
      </c>
      <c r="D5" s="128"/>
      <c r="E5" s="126"/>
      <c r="F5" s="215" t="s">
        <v>253</v>
      </c>
      <c r="G5" s="128"/>
      <c r="H5" s="128"/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3.25" customHeight="1">
      <c r="A6" s="175" t="s">
        <v>125</v>
      </c>
      <c r="B6" s="126"/>
      <c r="C6" s="211" t="str">
        <f>'Course Information'!$F$6</f>
        <v>DATA STRUCTURE AND APPLICATIONS</v>
      </c>
      <c r="D6" s="128"/>
      <c r="E6" s="128"/>
      <c r="F6" s="128"/>
      <c r="G6" s="128"/>
      <c r="H6" s="128"/>
      <c r="I6" s="12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>
      <c r="A7" s="175" t="s">
        <v>107</v>
      </c>
      <c r="B7" s="126"/>
      <c r="C7" s="211" t="str">
        <f>'Course Information'!F8</f>
        <v>Thara K L</v>
      </c>
      <c r="D7" s="128"/>
      <c r="E7" s="128"/>
      <c r="F7" s="128"/>
      <c r="G7" s="128"/>
      <c r="H7" s="128"/>
      <c r="I7" s="1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>
      <c r="A8" s="175" t="s">
        <v>256</v>
      </c>
      <c r="B8" s="126"/>
      <c r="C8" s="211"/>
      <c r="D8" s="126"/>
      <c r="E8" s="75" t="s">
        <v>257</v>
      </c>
      <c r="F8" s="211"/>
      <c r="G8" s="128"/>
      <c r="H8" s="128"/>
      <c r="I8" s="12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175" t="s">
        <v>258</v>
      </c>
      <c r="B9" s="128"/>
      <c r="C9" s="128"/>
      <c r="D9" s="128"/>
      <c r="E9" s="128"/>
      <c r="F9" s="128"/>
      <c r="G9" s="128"/>
      <c r="H9" s="128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>
      <c r="A10" s="175" t="s">
        <v>261</v>
      </c>
      <c r="B10" s="128"/>
      <c r="C10" s="128"/>
      <c r="D10" s="128"/>
      <c r="E10" s="128"/>
      <c r="F10" s="128"/>
      <c r="G10" s="128"/>
      <c r="H10" s="128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25" customHeight="1">
      <c r="A11" s="275" t="s">
        <v>263</v>
      </c>
      <c r="B11" s="128"/>
      <c r="C11" s="128"/>
      <c r="D11" s="128"/>
      <c r="E11" s="128"/>
      <c r="F11" s="128"/>
      <c r="G11" s="128"/>
      <c r="H11" s="128"/>
      <c r="I11" s="12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25" customHeight="1">
      <c r="A12" s="87" t="s">
        <v>57</v>
      </c>
      <c r="B12" s="87" t="s">
        <v>58</v>
      </c>
      <c r="C12" s="276" t="s">
        <v>110</v>
      </c>
      <c r="D12" s="145"/>
      <c r="E12" s="142"/>
      <c r="F12" s="276" t="s">
        <v>266</v>
      </c>
      <c r="G12" s="145"/>
      <c r="H12" s="145"/>
      <c r="I12" s="14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.25" customHeight="1">
      <c r="A13" s="77">
        <v>1</v>
      </c>
      <c r="B13" s="61"/>
      <c r="C13" s="211"/>
      <c r="D13" s="128"/>
      <c r="E13" s="126"/>
      <c r="F13" s="211"/>
      <c r="G13" s="128"/>
      <c r="H13" s="128"/>
      <c r="I13" s="12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3.25" customHeight="1">
      <c r="A14" s="77">
        <v>2</v>
      </c>
      <c r="B14" s="61"/>
      <c r="C14" s="211"/>
      <c r="D14" s="128"/>
      <c r="E14" s="126"/>
      <c r="F14" s="211"/>
      <c r="G14" s="128"/>
      <c r="H14" s="128"/>
      <c r="I14" s="12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3.25" customHeight="1">
      <c r="A15" s="77">
        <v>3</v>
      </c>
      <c r="B15" s="61"/>
      <c r="C15" s="211"/>
      <c r="D15" s="128"/>
      <c r="E15" s="126"/>
      <c r="F15" s="211"/>
      <c r="G15" s="128"/>
      <c r="H15" s="128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3.25" customHeight="1">
      <c r="A16" s="77">
        <v>4</v>
      </c>
      <c r="B16" s="61"/>
      <c r="C16" s="211"/>
      <c r="D16" s="128"/>
      <c r="E16" s="126"/>
      <c r="F16" s="211"/>
      <c r="G16" s="128"/>
      <c r="H16" s="128"/>
      <c r="I16" s="12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.25" customHeight="1">
      <c r="A17" s="77">
        <v>5</v>
      </c>
      <c r="B17" s="61"/>
      <c r="C17" s="211"/>
      <c r="D17" s="128"/>
      <c r="E17" s="126"/>
      <c r="F17" s="211"/>
      <c r="G17" s="128"/>
      <c r="H17" s="128"/>
      <c r="I17" s="12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3.25" customHeight="1">
      <c r="A18" s="77">
        <v>6</v>
      </c>
      <c r="B18" s="61"/>
      <c r="C18" s="211"/>
      <c r="D18" s="128"/>
      <c r="E18" s="126"/>
      <c r="F18" s="211"/>
      <c r="G18" s="128"/>
      <c r="H18" s="128"/>
      <c r="I18" s="12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25" customHeight="1">
      <c r="A19" s="77">
        <v>7</v>
      </c>
      <c r="B19" s="61"/>
      <c r="C19" s="211"/>
      <c r="D19" s="128"/>
      <c r="E19" s="126"/>
      <c r="F19" s="211"/>
      <c r="G19" s="128"/>
      <c r="H19" s="128"/>
      <c r="I19" s="12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.25" customHeight="1">
      <c r="A20" s="77">
        <v>8</v>
      </c>
      <c r="B20" s="61"/>
      <c r="C20" s="211"/>
      <c r="D20" s="128"/>
      <c r="E20" s="126"/>
      <c r="F20" s="211"/>
      <c r="G20" s="128"/>
      <c r="H20" s="128"/>
      <c r="I20" s="12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25" customHeight="1">
      <c r="A21" s="77">
        <v>9</v>
      </c>
      <c r="B21" s="61"/>
      <c r="C21" s="211"/>
      <c r="D21" s="128"/>
      <c r="E21" s="126"/>
      <c r="F21" s="211"/>
      <c r="G21" s="128"/>
      <c r="H21" s="128"/>
      <c r="I21" s="12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25" customHeight="1">
      <c r="A22" s="77">
        <v>10</v>
      </c>
      <c r="B22" s="61"/>
      <c r="C22" s="211"/>
      <c r="D22" s="128"/>
      <c r="E22" s="126"/>
      <c r="F22" s="211"/>
      <c r="G22" s="128"/>
      <c r="H22" s="128"/>
      <c r="I22" s="12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.25" customHeight="1">
      <c r="A23" s="77">
        <v>11</v>
      </c>
      <c r="B23" s="61"/>
      <c r="C23" s="211"/>
      <c r="D23" s="128"/>
      <c r="E23" s="126"/>
      <c r="F23" s="211"/>
      <c r="G23" s="128"/>
      <c r="H23" s="128"/>
      <c r="I23" s="12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25" customHeight="1">
      <c r="A24" s="77">
        <v>12</v>
      </c>
      <c r="B24" s="61"/>
      <c r="C24" s="211"/>
      <c r="D24" s="128"/>
      <c r="E24" s="126"/>
      <c r="F24" s="211"/>
      <c r="G24" s="128"/>
      <c r="H24" s="128"/>
      <c r="I24" s="12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3.25" customHeight="1">
      <c r="A25" s="77">
        <v>13</v>
      </c>
      <c r="B25" s="61"/>
      <c r="C25" s="211"/>
      <c r="D25" s="128"/>
      <c r="E25" s="126"/>
      <c r="F25" s="211"/>
      <c r="G25" s="128"/>
      <c r="H25" s="128"/>
      <c r="I25" s="12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3.25" customHeight="1">
      <c r="A26" s="77">
        <v>14</v>
      </c>
      <c r="B26" s="61"/>
      <c r="C26" s="211"/>
      <c r="D26" s="128"/>
      <c r="E26" s="126"/>
      <c r="F26" s="211"/>
      <c r="G26" s="128"/>
      <c r="H26" s="128"/>
      <c r="I26" s="12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3.25" customHeight="1">
      <c r="A27" s="77">
        <v>15</v>
      </c>
      <c r="B27" s="61"/>
      <c r="C27" s="211"/>
      <c r="D27" s="128"/>
      <c r="E27" s="126"/>
      <c r="F27" s="211"/>
      <c r="G27" s="128"/>
      <c r="H27" s="128"/>
      <c r="I27" s="12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43" t="s">
        <v>270</v>
      </c>
      <c r="B32" s="144"/>
      <c r="C32" s="144"/>
      <c r="D32" s="144"/>
      <c r="E32" s="144"/>
      <c r="F32" s="144"/>
      <c r="G32" s="144"/>
      <c r="H32" s="144"/>
      <c r="I32" s="14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I1"/>
    <mergeCell ref="A2:I2"/>
    <mergeCell ref="A3:I3"/>
    <mergeCell ref="A4:I4"/>
    <mergeCell ref="A5:B5"/>
    <mergeCell ref="C5:E5"/>
    <mergeCell ref="F5:I5"/>
    <mergeCell ref="A6:B6"/>
    <mergeCell ref="C6:I6"/>
    <mergeCell ref="A7:B7"/>
    <mergeCell ref="C7:I7"/>
    <mergeCell ref="A8:B8"/>
    <mergeCell ref="C8:D8"/>
    <mergeCell ref="F8:I8"/>
    <mergeCell ref="A9:I9"/>
    <mergeCell ref="A10:I10"/>
    <mergeCell ref="A11:I11"/>
    <mergeCell ref="C12:E12"/>
    <mergeCell ref="F12:I12"/>
    <mergeCell ref="C13:E13"/>
    <mergeCell ref="F13:I13"/>
    <mergeCell ref="C14:E14"/>
    <mergeCell ref="F14:I14"/>
    <mergeCell ref="C15:E15"/>
    <mergeCell ref="F15:I15"/>
    <mergeCell ref="C16:E16"/>
    <mergeCell ref="F16:I16"/>
    <mergeCell ref="F17:I17"/>
    <mergeCell ref="C24:E24"/>
    <mergeCell ref="C25:E25"/>
    <mergeCell ref="F25:I25"/>
    <mergeCell ref="C17:E17"/>
    <mergeCell ref="C18:E18"/>
    <mergeCell ref="C19:E19"/>
    <mergeCell ref="C20:E20"/>
    <mergeCell ref="C21:E21"/>
    <mergeCell ref="F26:I26"/>
    <mergeCell ref="F27:I27"/>
    <mergeCell ref="A32:I32"/>
    <mergeCell ref="F18:I18"/>
    <mergeCell ref="F19:I19"/>
    <mergeCell ref="F20:I20"/>
    <mergeCell ref="F21:I21"/>
    <mergeCell ref="F22:I22"/>
    <mergeCell ref="F23:I23"/>
    <mergeCell ref="F24:I24"/>
    <mergeCell ref="C26:E26"/>
    <mergeCell ref="C27:E27"/>
    <mergeCell ref="C22:E22"/>
    <mergeCell ref="C23:E23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14.42578125" customWidth="1"/>
    <col min="2" max="2" width="19" customWidth="1"/>
    <col min="3" max="6" width="14.42578125" customWidth="1"/>
  </cols>
  <sheetData>
    <row r="1" spans="1:26" ht="22.5" customHeight="1">
      <c r="A1" s="263" t="s">
        <v>99</v>
      </c>
      <c r="B1" s="190"/>
      <c r="C1" s="190"/>
      <c r="D1" s="190"/>
      <c r="E1" s="190"/>
      <c r="F1" s="190"/>
      <c r="G1" s="190"/>
      <c r="H1" s="190"/>
      <c r="I1" s="1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>
      <c r="A2" s="218" t="s">
        <v>100</v>
      </c>
      <c r="B2" s="145"/>
      <c r="C2" s="145"/>
      <c r="D2" s="145"/>
      <c r="E2" s="145"/>
      <c r="F2" s="145"/>
      <c r="G2" s="145"/>
      <c r="H2" s="145"/>
      <c r="I2" s="14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>
      <c r="A3" s="131" t="s">
        <v>254</v>
      </c>
      <c r="B3" s="128"/>
      <c r="C3" s="128"/>
      <c r="D3" s="128"/>
      <c r="E3" s="128"/>
      <c r="F3" s="128"/>
      <c r="G3" s="128"/>
      <c r="H3" s="128"/>
      <c r="I3" s="12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2.5" customHeight="1">
      <c r="A4" s="272" t="s">
        <v>255</v>
      </c>
      <c r="B4" s="273"/>
      <c r="C4" s="273"/>
      <c r="D4" s="273"/>
      <c r="E4" s="273"/>
      <c r="F4" s="273"/>
      <c r="G4" s="273"/>
      <c r="H4" s="273"/>
      <c r="I4" s="25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5.25" customHeight="1">
      <c r="A5" s="215" t="s">
        <v>101</v>
      </c>
      <c r="B5" s="126"/>
      <c r="C5" s="274" t="str">
        <f>'Course Information'!$F$5</f>
        <v>2026-27</v>
      </c>
      <c r="D5" s="126"/>
      <c r="E5" s="215" t="s">
        <v>253</v>
      </c>
      <c r="F5" s="128"/>
      <c r="G5" s="128"/>
      <c r="H5" s="128"/>
      <c r="I5" s="12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5.25" customHeight="1">
      <c r="A6" s="215" t="s">
        <v>264</v>
      </c>
      <c r="B6" s="126"/>
      <c r="C6" s="211"/>
      <c r="D6" s="126"/>
      <c r="E6" s="278" t="s">
        <v>257</v>
      </c>
      <c r="F6" s="142"/>
      <c r="G6" s="279"/>
      <c r="H6" s="145"/>
      <c r="I6" s="14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5.25" customHeight="1">
      <c r="A7" s="275" t="s">
        <v>267</v>
      </c>
      <c r="B7" s="128"/>
      <c r="C7" s="128"/>
      <c r="D7" s="128"/>
      <c r="E7" s="128"/>
      <c r="F7" s="128"/>
      <c r="G7" s="128"/>
      <c r="H7" s="128"/>
      <c r="I7" s="1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5.25" customHeight="1">
      <c r="A8" s="77" t="s">
        <v>57</v>
      </c>
      <c r="B8" s="77" t="s">
        <v>58</v>
      </c>
      <c r="C8" s="175" t="s">
        <v>110</v>
      </c>
      <c r="D8" s="128"/>
      <c r="E8" s="126"/>
      <c r="F8" s="175" t="s">
        <v>266</v>
      </c>
      <c r="G8" s="128"/>
      <c r="H8" s="128"/>
      <c r="I8" s="12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5.25" customHeight="1">
      <c r="A9" s="77">
        <v>1</v>
      </c>
      <c r="B9" s="61"/>
      <c r="C9" s="211"/>
      <c r="D9" s="128"/>
      <c r="E9" s="126"/>
      <c r="F9" s="211"/>
      <c r="G9" s="128"/>
      <c r="H9" s="128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5.25" customHeight="1">
      <c r="A10" s="77">
        <v>2</v>
      </c>
      <c r="B10" s="61"/>
      <c r="C10" s="211"/>
      <c r="D10" s="128"/>
      <c r="E10" s="126"/>
      <c r="F10" s="211"/>
      <c r="G10" s="128"/>
      <c r="H10" s="128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5.25" customHeight="1">
      <c r="A11" s="77">
        <v>3</v>
      </c>
      <c r="B11" s="61"/>
      <c r="C11" s="211"/>
      <c r="D11" s="128"/>
      <c r="E11" s="126"/>
      <c r="F11" s="211"/>
      <c r="G11" s="128"/>
      <c r="H11" s="128"/>
      <c r="I11" s="12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5.25" customHeight="1">
      <c r="A12" s="77">
        <v>4</v>
      </c>
      <c r="B12" s="61"/>
      <c r="C12" s="211"/>
      <c r="D12" s="128"/>
      <c r="E12" s="126"/>
      <c r="F12" s="211"/>
      <c r="G12" s="128"/>
      <c r="H12" s="128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5.25" customHeight="1">
      <c r="A13" s="77">
        <v>5</v>
      </c>
      <c r="B13" s="61"/>
      <c r="C13" s="211"/>
      <c r="D13" s="128"/>
      <c r="E13" s="126"/>
      <c r="F13" s="211"/>
      <c r="G13" s="128"/>
      <c r="H13" s="128"/>
      <c r="I13" s="12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5.25" customHeight="1">
      <c r="A14" s="77">
        <v>6</v>
      </c>
      <c r="B14" s="61"/>
      <c r="C14" s="211"/>
      <c r="D14" s="128"/>
      <c r="E14" s="126"/>
      <c r="F14" s="211"/>
      <c r="G14" s="128"/>
      <c r="H14" s="128"/>
      <c r="I14" s="12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5.25" customHeight="1">
      <c r="A15" s="77">
        <v>7</v>
      </c>
      <c r="B15" s="61"/>
      <c r="C15" s="211"/>
      <c r="D15" s="128"/>
      <c r="E15" s="126"/>
      <c r="F15" s="211"/>
      <c r="G15" s="128"/>
      <c r="H15" s="128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5.25" customHeight="1">
      <c r="A16" s="77">
        <v>8</v>
      </c>
      <c r="B16" s="61"/>
      <c r="C16" s="211"/>
      <c r="D16" s="128"/>
      <c r="E16" s="126"/>
      <c r="F16" s="211"/>
      <c r="G16" s="128"/>
      <c r="H16" s="128"/>
      <c r="I16" s="12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5.25" customHeight="1">
      <c r="A17" s="77">
        <v>9</v>
      </c>
      <c r="B17" s="61"/>
      <c r="C17" s="211"/>
      <c r="D17" s="128"/>
      <c r="E17" s="126"/>
      <c r="F17" s="211"/>
      <c r="G17" s="128"/>
      <c r="H17" s="128"/>
      <c r="I17" s="12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5.25" customHeight="1">
      <c r="A18" s="77">
        <v>10</v>
      </c>
      <c r="B18" s="61"/>
      <c r="C18" s="211"/>
      <c r="D18" s="128"/>
      <c r="E18" s="126"/>
      <c r="F18" s="211"/>
      <c r="G18" s="128"/>
      <c r="H18" s="128"/>
      <c r="I18" s="12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5.25" customHeight="1">
      <c r="A19" s="77">
        <v>11</v>
      </c>
      <c r="B19" s="61"/>
      <c r="C19" s="211"/>
      <c r="D19" s="128"/>
      <c r="E19" s="126"/>
      <c r="F19" s="211"/>
      <c r="G19" s="128"/>
      <c r="H19" s="128"/>
      <c r="I19" s="12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5.25" customHeight="1">
      <c r="A20" s="77">
        <v>12</v>
      </c>
      <c r="B20" s="61"/>
      <c r="C20" s="211"/>
      <c r="D20" s="128"/>
      <c r="E20" s="126"/>
      <c r="F20" s="211"/>
      <c r="G20" s="128"/>
      <c r="H20" s="128"/>
      <c r="I20" s="12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198" t="s">
        <v>269</v>
      </c>
      <c r="B26" s="144"/>
      <c r="C26" s="144"/>
      <c r="D26" s="144"/>
      <c r="E26" s="144"/>
      <c r="F26" s="144"/>
      <c r="G26" s="144"/>
      <c r="H26" s="144"/>
      <c r="I26" s="14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I1"/>
    <mergeCell ref="A2:I2"/>
    <mergeCell ref="A3:I3"/>
    <mergeCell ref="A4:I4"/>
    <mergeCell ref="A5:B5"/>
    <mergeCell ref="C5:D5"/>
    <mergeCell ref="E5:I5"/>
    <mergeCell ref="A6:B6"/>
    <mergeCell ref="C6:D6"/>
    <mergeCell ref="E6:F6"/>
    <mergeCell ref="G6:I6"/>
    <mergeCell ref="A7:I7"/>
    <mergeCell ref="C8:E8"/>
    <mergeCell ref="F8:I8"/>
    <mergeCell ref="F13:I13"/>
    <mergeCell ref="F14:I14"/>
    <mergeCell ref="F15:I15"/>
    <mergeCell ref="C9:E9"/>
    <mergeCell ref="F9:I9"/>
    <mergeCell ref="C10:E10"/>
    <mergeCell ref="F10:I10"/>
    <mergeCell ref="C11:E11"/>
    <mergeCell ref="F11:I11"/>
    <mergeCell ref="F12:I12"/>
    <mergeCell ref="C19:E19"/>
    <mergeCell ref="C20:E20"/>
    <mergeCell ref="A26:I26"/>
    <mergeCell ref="C12:E12"/>
    <mergeCell ref="C13:E13"/>
    <mergeCell ref="C14:E14"/>
    <mergeCell ref="C15:E15"/>
    <mergeCell ref="C16:E16"/>
    <mergeCell ref="C17:E17"/>
    <mergeCell ref="C18:E18"/>
    <mergeCell ref="F16:I16"/>
    <mergeCell ref="F17:I17"/>
    <mergeCell ref="F18:I18"/>
    <mergeCell ref="F19:I19"/>
    <mergeCell ref="F20:I20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6" width="14.42578125" customWidth="1"/>
  </cols>
  <sheetData>
    <row r="1" spans="1:26" ht="18.75">
      <c r="A1" s="285" t="s">
        <v>99</v>
      </c>
      <c r="B1" s="144"/>
      <c r="C1" s="144"/>
      <c r="D1" s="144"/>
      <c r="E1" s="144"/>
      <c r="F1" s="14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 customHeight="1">
      <c r="A2" s="143" t="s">
        <v>204</v>
      </c>
      <c r="B2" s="144"/>
      <c r="C2" s="144"/>
      <c r="D2" s="144"/>
      <c r="E2" s="144"/>
      <c r="F2" s="14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25" customHeight="1">
      <c r="A3" s="143" t="s">
        <v>271</v>
      </c>
      <c r="B3" s="144"/>
      <c r="C3" s="144"/>
      <c r="D3" s="144"/>
      <c r="E3" s="144"/>
      <c r="F3" s="14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81" t="s">
        <v>272</v>
      </c>
      <c r="B4" s="144"/>
      <c r="C4" s="144"/>
      <c r="D4" s="144"/>
      <c r="E4" s="144"/>
      <c r="F4" s="14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3" customHeight="1">
      <c r="A5" s="284" t="s">
        <v>273</v>
      </c>
      <c r="B5" s="144"/>
      <c r="C5" s="144"/>
      <c r="D5" s="284" t="s">
        <v>274</v>
      </c>
      <c r="E5" s="14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3" customHeight="1">
      <c r="A6" s="284" t="s">
        <v>125</v>
      </c>
      <c r="B6" s="144"/>
      <c r="C6" s="144"/>
      <c r="D6" s="144"/>
      <c r="E6" s="144"/>
      <c r="F6" s="14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3" customHeight="1">
      <c r="A7" s="284" t="s">
        <v>275</v>
      </c>
      <c r="B7" s="144"/>
      <c r="C7" s="144"/>
      <c r="D7" s="284" t="s">
        <v>106</v>
      </c>
      <c r="E7" s="144"/>
      <c r="F7" s="14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3" customHeight="1">
      <c r="A8" s="284" t="s">
        <v>107</v>
      </c>
      <c r="B8" s="144"/>
      <c r="C8" s="144"/>
      <c r="D8" s="284" t="s">
        <v>276</v>
      </c>
      <c r="E8" s="144"/>
      <c r="F8" s="14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3" customHeight="1">
      <c r="A9" s="282" t="s">
        <v>277</v>
      </c>
      <c r="B9" s="144"/>
      <c r="C9" s="144"/>
      <c r="D9" s="144"/>
      <c r="E9" s="144"/>
      <c r="F9" s="14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3" customHeight="1">
      <c r="A10" s="144"/>
      <c r="B10" s="144"/>
      <c r="C10" s="144"/>
      <c r="D10" s="144"/>
      <c r="E10" s="144"/>
      <c r="F10" s="14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3" customHeight="1">
      <c r="A11" s="280" t="s">
        <v>278</v>
      </c>
      <c r="B11" s="144"/>
      <c r="C11" s="144"/>
      <c r="D11" s="281"/>
      <c r="E11" s="144"/>
      <c r="F11" s="14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3" customHeight="1">
      <c r="A12" s="280" t="s">
        <v>279</v>
      </c>
      <c r="B12" s="144"/>
      <c r="C12" s="144"/>
      <c r="D12" s="281"/>
      <c r="E12" s="144"/>
      <c r="F12" s="14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3" customHeight="1">
      <c r="A13" s="280" t="s">
        <v>280</v>
      </c>
      <c r="B13" s="144"/>
      <c r="C13" s="144"/>
      <c r="D13" s="281"/>
      <c r="E13" s="144"/>
      <c r="F13" s="14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3" customHeight="1">
      <c r="A14" s="280" t="s">
        <v>281</v>
      </c>
      <c r="B14" s="144"/>
      <c r="C14" s="144"/>
      <c r="D14" s="281"/>
      <c r="E14" s="144"/>
      <c r="F14" s="14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3" customHeight="1">
      <c r="A15" s="280" t="s">
        <v>282</v>
      </c>
      <c r="B15" s="144"/>
      <c r="C15" s="144"/>
      <c r="D15" s="281"/>
      <c r="E15" s="144"/>
      <c r="F15" s="14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283" t="s">
        <v>283</v>
      </c>
      <c r="B16" s="144"/>
      <c r="C16" s="144"/>
      <c r="D16" s="144"/>
      <c r="E16" s="144"/>
      <c r="F16" s="14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44"/>
      <c r="B17" s="144"/>
      <c r="C17" s="144"/>
      <c r="D17" s="144"/>
      <c r="E17" s="144"/>
      <c r="F17" s="14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44"/>
      <c r="B18" s="144"/>
      <c r="C18" s="144"/>
      <c r="D18" s="144"/>
      <c r="E18" s="144"/>
      <c r="F18" s="14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44"/>
      <c r="B19" s="144"/>
      <c r="C19" s="144"/>
      <c r="D19" s="144"/>
      <c r="E19" s="144"/>
      <c r="F19" s="14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44"/>
      <c r="B20" s="144"/>
      <c r="C20" s="144"/>
      <c r="D20" s="144"/>
      <c r="E20" s="144"/>
      <c r="F20" s="14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88" t="s">
        <v>284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43" t="s">
        <v>285</v>
      </c>
      <c r="B26" s="144"/>
      <c r="C26" s="144"/>
      <c r="D26" s="144"/>
      <c r="E26" s="144"/>
      <c r="F26" s="14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F1"/>
    <mergeCell ref="A2:F2"/>
    <mergeCell ref="A3:F3"/>
    <mergeCell ref="A4:F4"/>
    <mergeCell ref="A5:C5"/>
    <mergeCell ref="D5:E5"/>
    <mergeCell ref="A6:F6"/>
    <mergeCell ref="A7:C7"/>
    <mergeCell ref="D7:F7"/>
    <mergeCell ref="A8:C8"/>
    <mergeCell ref="D8:F8"/>
    <mergeCell ref="A9:F10"/>
    <mergeCell ref="A11:C11"/>
    <mergeCell ref="D11:F11"/>
    <mergeCell ref="D15:F15"/>
    <mergeCell ref="A16:F20"/>
    <mergeCell ref="A26:F26"/>
    <mergeCell ref="A12:C12"/>
    <mergeCell ref="D12:F12"/>
    <mergeCell ref="A13:C13"/>
    <mergeCell ref="D13:F13"/>
    <mergeCell ref="A14:C14"/>
    <mergeCell ref="D14:F14"/>
    <mergeCell ref="A15:C15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6" width="14.42578125" customWidth="1"/>
  </cols>
  <sheetData>
    <row r="1" spans="1:26" ht="18.75">
      <c r="A1" s="285" t="s">
        <v>99</v>
      </c>
      <c r="B1" s="144"/>
      <c r="C1" s="144"/>
      <c r="D1" s="144"/>
      <c r="E1" s="144"/>
      <c r="F1" s="144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>
      <c r="A2" s="143" t="s">
        <v>204</v>
      </c>
      <c r="B2" s="144"/>
      <c r="C2" s="144"/>
      <c r="D2" s="144"/>
      <c r="E2" s="144"/>
      <c r="F2" s="14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>
      <c r="A3" s="181" t="s">
        <v>272</v>
      </c>
      <c r="B3" s="144"/>
      <c r="C3" s="144"/>
      <c r="D3" s="144"/>
      <c r="E3" s="144"/>
      <c r="F3" s="144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>
      <c r="A4" s="286" t="s">
        <v>286</v>
      </c>
      <c r="B4" s="144"/>
      <c r="C4" s="144"/>
      <c r="D4" s="144"/>
      <c r="E4" s="144"/>
      <c r="F4" s="14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144"/>
      <c r="B5" s="144"/>
      <c r="C5" s="144"/>
      <c r="D5" s="144"/>
      <c r="E5" s="144"/>
      <c r="F5" s="14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7" customHeight="1">
      <c r="A6" s="287" t="s">
        <v>13</v>
      </c>
      <c r="B6" s="144"/>
      <c r="C6" s="144"/>
      <c r="D6" s="144"/>
      <c r="E6" s="144"/>
      <c r="F6" s="14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7" customHeight="1">
      <c r="A7" s="287" t="s">
        <v>17</v>
      </c>
      <c r="B7" s="144"/>
      <c r="C7" s="144"/>
      <c r="D7" s="144"/>
      <c r="E7" s="144"/>
      <c r="F7" s="144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36.75" customHeight="1">
      <c r="A8" s="280" t="s">
        <v>110</v>
      </c>
      <c r="B8" s="144"/>
      <c r="C8" s="144"/>
      <c r="D8" s="281"/>
      <c r="E8" s="144"/>
      <c r="F8" s="144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36.75" customHeight="1">
      <c r="A9" s="280" t="s">
        <v>288</v>
      </c>
      <c r="B9" s="144"/>
      <c r="C9" s="144"/>
      <c r="D9" s="281"/>
      <c r="E9" s="144"/>
      <c r="F9" s="144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6.75" customHeight="1">
      <c r="A10" s="280" t="s">
        <v>6</v>
      </c>
      <c r="B10" s="144"/>
      <c r="C10" s="144"/>
      <c r="D10" s="281"/>
      <c r="E10" s="144"/>
      <c r="F10" s="144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36.75" customHeight="1">
      <c r="A11" s="280" t="s">
        <v>9</v>
      </c>
      <c r="B11" s="144"/>
      <c r="C11" s="144"/>
      <c r="D11" s="281"/>
      <c r="E11" s="144"/>
      <c r="F11" s="14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6.75" customHeight="1">
      <c r="A12" s="280" t="s">
        <v>290</v>
      </c>
      <c r="B12" s="144"/>
      <c r="C12" s="144"/>
      <c r="D12" s="281"/>
      <c r="E12" s="144"/>
      <c r="F12" s="144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6.75" customHeight="1">
      <c r="A13" s="280" t="s">
        <v>291</v>
      </c>
      <c r="B13" s="144"/>
      <c r="C13" s="144"/>
      <c r="D13" s="281"/>
      <c r="E13" s="144"/>
      <c r="F13" s="14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36.75" customHeight="1">
      <c r="A14" s="280" t="s">
        <v>292</v>
      </c>
      <c r="B14" s="144"/>
      <c r="C14" s="144"/>
      <c r="D14" s="281"/>
      <c r="E14" s="144"/>
      <c r="F14" s="14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90" t="s">
        <v>284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198" t="s">
        <v>285</v>
      </c>
      <c r="B20" s="144"/>
      <c r="C20" s="144"/>
      <c r="D20" s="144"/>
      <c r="E20" s="144"/>
      <c r="F20" s="144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8:C8"/>
    <mergeCell ref="A9:C9"/>
    <mergeCell ref="A10:C10"/>
    <mergeCell ref="A11:C11"/>
    <mergeCell ref="A12:C12"/>
    <mergeCell ref="A20:F20"/>
    <mergeCell ref="A1:F1"/>
    <mergeCell ref="A2:F2"/>
    <mergeCell ref="A3:F3"/>
    <mergeCell ref="A4:F5"/>
    <mergeCell ref="A6:F6"/>
    <mergeCell ref="A7:F7"/>
    <mergeCell ref="D8:F8"/>
    <mergeCell ref="A13:C13"/>
    <mergeCell ref="A14:C14"/>
    <mergeCell ref="D9:F9"/>
    <mergeCell ref="D10:F10"/>
    <mergeCell ref="D11:F11"/>
    <mergeCell ref="D12:F12"/>
    <mergeCell ref="D13:F13"/>
    <mergeCell ref="D14:F14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5" width="14.42578125" customWidth="1"/>
    <col min="6" max="6" width="0.42578125" customWidth="1"/>
    <col min="9" max="9" width="1.85546875" customWidth="1"/>
    <col min="11" max="11" width="0.42578125" customWidth="1"/>
    <col min="12" max="12" width="10.140625" customWidth="1"/>
    <col min="13" max="13" width="9.85546875" customWidth="1"/>
    <col min="14" max="14" width="10.140625" customWidth="1"/>
    <col min="15" max="15" width="9.85546875" customWidth="1"/>
  </cols>
  <sheetData>
    <row r="1" spans="1:26" ht="48" customHeight="1">
      <c r="A1" s="294" t="s">
        <v>287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6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22.5" customHeight="1">
      <c r="A2" s="131" t="s">
        <v>289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6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31.5" customHeight="1">
      <c r="A3" s="295" t="s">
        <v>14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5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31.5" customHeight="1">
      <c r="A4" s="296" t="s">
        <v>293</v>
      </c>
      <c r="B4" s="259"/>
      <c r="C4" s="297"/>
      <c r="D4" s="142"/>
      <c r="E4" s="91" t="s">
        <v>294</v>
      </c>
      <c r="F4" s="92">
        <v>25</v>
      </c>
      <c r="G4" s="298" t="s">
        <v>295</v>
      </c>
      <c r="H4" s="145"/>
      <c r="I4" s="145"/>
      <c r="J4" s="145"/>
      <c r="K4" s="142"/>
      <c r="L4" s="297"/>
      <c r="M4" s="145"/>
      <c r="N4" s="145"/>
      <c r="O4" s="142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31.5" customHeight="1">
      <c r="A5" s="291" t="s">
        <v>296</v>
      </c>
      <c r="B5" s="126"/>
      <c r="C5" s="93" t="str">
        <f>'Course Information'!$F$5</f>
        <v>2026-27</v>
      </c>
      <c r="D5" s="94" t="s">
        <v>297</v>
      </c>
      <c r="E5" s="293" t="str">
        <f>'Course Information'!N5</f>
        <v>III</v>
      </c>
      <c r="F5" s="126"/>
      <c r="G5" s="275" t="s">
        <v>298</v>
      </c>
      <c r="H5" s="128"/>
      <c r="I5" s="128"/>
      <c r="J5" s="128"/>
      <c r="K5" s="126"/>
      <c r="L5" s="288"/>
      <c r="M5" s="128"/>
      <c r="N5" s="128"/>
      <c r="O5" s="126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31.5" customHeight="1">
      <c r="A6" s="290" t="s">
        <v>300</v>
      </c>
      <c r="B6" s="126"/>
      <c r="C6" s="288" t="str">
        <f>'Course Information'!$F$6</f>
        <v>DATA STRUCTURE AND APPLICATIONS</v>
      </c>
      <c r="D6" s="128"/>
      <c r="E6" s="128"/>
      <c r="F6" s="126"/>
      <c r="G6" s="275" t="s">
        <v>301</v>
      </c>
      <c r="H6" s="128"/>
      <c r="I6" s="128"/>
      <c r="J6" s="128"/>
      <c r="K6" s="126"/>
      <c r="L6" s="288"/>
      <c r="M6" s="128"/>
      <c r="N6" s="128"/>
      <c r="O6" s="126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31.5" customHeight="1">
      <c r="A7" s="291" t="s">
        <v>302</v>
      </c>
      <c r="B7" s="126"/>
      <c r="C7" s="98"/>
      <c r="D7" s="99" t="s">
        <v>303</v>
      </c>
      <c r="E7" s="288" t="str">
        <f>'Course Information'!$F$7</f>
        <v>1BCS305</v>
      </c>
      <c r="F7" s="126"/>
      <c r="G7" s="275" t="s">
        <v>305</v>
      </c>
      <c r="H7" s="128"/>
      <c r="I7" s="128"/>
      <c r="J7" s="128"/>
      <c r="K7" s="126"/>
      <c r="L7" s="275" t="s">
        <v>306</v>
      </c>
      <c r="M7" s="126"/>
      <c r="N7" s="288"/>
      <c r="O7" s="126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31.5" customHeight="1">
      <c r="A8" s="290" t="s">
        <v>308</v>
      </c>
      <c r="B8" s="126"/>
      <c r="C8" s="98"/>
      <c r="D8" s="94" t="s">
        <v>310</v>
      </c>
      <c r="E8" s="288"/>
      <c r="F8" s="126"/>
      <c r="G8" s="304" t="s">
        <v>312</v>
      </c>
      <c r="H8" s="128"/>
      <c r="I8" s="128"/>
      <c r="J8" s="128"/>
      <c r="K8" s="126"/>
      <c r="L8" s="288"/>
      <c r="M8" s="128"/>
      <c r="N8" s="128"/>
      <c r="O8" s="126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31.5" customHeight="1">
      <c r="A9" s="291" t="s">
        <v>313</v>
      </c>
      <c r="B9" s="126"/>
      <c r="C9" s="291" t="s">
        <v>315</v>
      </c>
      <c r="D9" s="128"/>
      <c r="E9" s="128"/>
      <c r="F9" s="126"/>
      <c r="G9" s="101" t="s">
        <v>316</v>
      </c>
      <c r="H9" s="101" t="s">
        <v>317</v>
      </c>
      <c r="I9" s="305"/>
      <c r="J9" s="306" t="s">
        <v>318</v>
      </c>
      <c r="K9" s="126"/>
      <c r="L9" s="65" t="s">
        <v>320</v>
      </c>
      <c r="M9" s="65" t="s">
        <v>321</v>
      </c>
      <c r="N9" s="65" t="s">
        <v>322</v>
      </c>
      <c r="O9" s="65" t="s">
        <v>323</v>
      </c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31.5" customHeight="1">
      <c r="A10" s="102">
        <v>1</v>
      </c>
      <c r="B10" s="292"/>
      <c r="C10" s="128"/>
      <c r="D10" s="128"/>
      <c r="E10" s="128"/>
      <c r="F10" s="126"/>
      <c r="G10" s="103"/>
      <c r="H10" s="103"/>
      <c r="I10" s="150"/>
      <c r="J10" s="289">
        <v>1</v>
      </c>
      <c r="K10" s="126"/>
      <c r="L10" s="104"/>
      <c r="M10" s="105"/>
      <c r="N10" s="105"/>
      <c r="O10" s="105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31.5" customHeight="1">
      <c r="A11" s="102">
        <v>2</v>
      </c>
      <c r="B11" s="292"/>
      <c r="C11" s="128"/>
      <c r="D11" s="128"/>
      <c r="E11" s="128"/>
      <c r="F11" s="126"/>
      <c r="G11" s="103"/>
      <c r="H11" s="103"/>
      <c r="I11" s="150"/>
      <c r="J11" s="289">
        <v>2</v>
      </c>
      <c r="K11" s="126"/>
      <c r="L11" s="106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31.5" customHeight="1">
      <c r="A12" s="102">
        <v>3</v>
      </c>
      <c r="B12" s="292"/>
      <c r="C12" s="128"/>
      <c r="D12" s="128"/>
      <c r="E12" s="128"/>
      <c r="F12" s="126"/>
      <c r="G12" s="103"/>
      <c r="H12" s="103"/>
      <c r="I12" s="150"/>
      <c r="J12" s="289">
        <v>3</v>
      </c>
      <c r="K12" s="126"/>
      <c r="L12" s="106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31.5" customHeight="1">
      <c r="A13" s="102">
        <v>4</v>
      </c>
      <c r="B13" s="292"/>
      <c r="C13" s="128"/>
      <c r="D13" s="128"/>
      <c r="E13" s="128"/>
      <c r="F13" s="126"/>
      <c r="G13" s="103"/>
      <c r="H13" s="103"/>
      <c r="I13" s="150"/>
      <c r="J13" s="289">
        <v>4</v>
      </c>
      <c r="K13" s="126"/>
      <c r="L13" s="106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31.5" customHeight="1">
      <c r="A14" s="102">
        <v>5</v>
      </c>
      <c r="B14" s="292"/>
      <c r="C14" s="128"/>
      <c r="D14" s="128"/>
      <c r="E14" s="128"/>
      <c r="F14" s="126"/>
      <c r="G14" s="103"/>
      <c r="H14" s="103"/>
      <c r="I14" s="150"/>
      <c r="J14" s="289">
        <v>5</v>
      </c>
      <c r="K14" s="126"/>
      <c r="L14" s="106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31.5" customHeight="1">
      <c r="A15" s="102">
        <v>6</v>
      </c>
      <c r="B15" s="292"/>
      <c r="C15" s="128"/>
      <c r="D15" s="128"/>
      <c r="E15" s="128"/>
      <c r="F15" s="126"/>
      <c r="G15" s="103"/>
      <c r="H15" s="103"/>
      <c r="I15" s="150"/>
      <c r="J15" s="289">
        <v>6</v>
      </c>
      <c r="K15" s="126"/>
      <c r="L15" s="106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31.5" customHeight="1">
      <c r="A16" s="102">
        <v>7</v>
      </c>
      <c r="B16" s="292"/>
      <c r="C16" s="128"/>
      <c r="D16" s="128"/>
      <c r="E16" s="128"/>
      <c r="F16" s="126"/>
      <c r="G16" s="103"/>
      <c r="H16" s="103"/>
      <c r="I16" s="150"/>
      <c r="J16" s="289">
        <v>7</v>
      </c>
      <c r="K16" s="126"/>
      <c r="L16" s="106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31.5" customHeight="1">
      <c r="A17" s="102">
        <v>8</v>
      </c>
      <c r="B17" s="292"/>
      <c r="C17" s="128"/>
      <c r="D17" s="128"/>
      <c r="E17" s="128"/>
      <c r="F17" s="126"/>
      <c r="G17" s="103"/>
      <c r="H17" s="103"/>
      <c r="I17" s="150"/>
      <c r="J17" s="289">
        <v>8</v>
      </c>
      <c r="K17" s="126"/>
      <c r="L17" s="106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1.5" customHeight="1">
      <c r="A18" s="102">
        <v>9</v>
      </c>
      <c r="B18" s="292"/>
      <c r="C18" s="128"/>
      <c r="D18" s="128"/>
      <c r="E18" s="128"/>
      <c r="F18" s="126"/>
      <c r="G18" s="103"/>
      <c r="H18" s="103"/>
      <c r="I18" s="150"/>
      <c r="J18" s="289">
        <v>9</v>
      </c>
      <c r="K18" s="126"/>
      <c r="L18" s="106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1.5" customHeight="1">
      <c r="A19" s="102">
        <v>10</v>
      </c>
      <c r="B19" s="292"/>
      <c r="C19" s="128"/>
      <c r="D19" s="128"/>
      <c r="E19" s="128"/>
      <c r="F19" s="126"/>
      <c r="G19" s="103"/>
      <c r="H19" s="103"/>
      <c r="I19" s="151"/>
      <c r="J19" s="289">
        <v>10</v>
      </c>
      <c r="K19" s="126"/>
      <c r="L19" s="106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31.5" customHeight="1">
      <c r="A20" s="301" t="s">
        <v>341</v>
      </c>
      <c r="B20" s="126"/>
      <c r="C20" s="301" t="s">
        <v>343</v>
      </c>
      <c r="D20" s="128"/>
      <c r="E20" s="128"/>
      <c r="F20" s="126"/>
      <c r="G20" s="109" t="s">
        <v>344</v>
      </c>
      <c r="H20" s="109" t="s">
        <v>345</v>
      </c>
      <c r="I20" s="302"/>
      <c r="J20" s="303" t="s">
        <v>347</v>
      </c>
      <c r="K20" s="126"/>
      <c r="L20" s="110" t="s">
        <v>348</v>
      </c>
      <c r="M20" s="110" t="s">
        <v>350</v>
      </c>
      <c r="N20" s="110" t="s">
        <v>351</v>
      </c>
      <c r="O20" s="110" t="s">
        <v>352</v>
      </c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31.5" customHeight="1">
      <c r="A21" s="102">
        <v>11</v>
      </c>
      <c r="B21" s="292"/>
      <c r="C21" s="128"/>
      <c r="D21" s="128"/>
      <c r="E21" s="128"/>
      <c r="F21" s="126"/>
      <c r="G21" s="103"/>
      <c r="H21" s="103"/>
      <c r="I21" s="150"/>
      <c r="J21" s="289">
        <v>11</v>
      </c>
      <c r="K21" s="126"/>
      <c r="L21" s="111"/>
      <c r="M21" s="105"/>
      <c r="N21" s="105"/>
      <c r="O21" s="105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31.5" customHeight="1">
      <c r="A22" s="102">
        <v>12</v>
      </c>
      <c r="B22" s="292"/>
      <c r="C22" s="128"/>
      <c r="D22" s="128"/>
      <c r="E22" s="128"/>
      <c r="F22" s="126"/>
      <c r="G22" s="103"/>
      <c r="H22" s="103"/>
      <c r="I22" s="150"/>
      <c r="J22" s="289">
        <v>12</v>
      </c>
      <c r="K22" s="126"/>
      <c r="L22" s="106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31.5" customHeight="1">
      <c r="A23" s="102">
        <v>13</v>
      </c>
      <c r="B23" s="292"/>
      <c r="C23" s="128"/>
      <c r="D23" s="128"/>
      <c r="E23" s="128"/>
      <c r="F23" s="126"/>
      <c r="G23" s="103"/>
      <c r="H23" s="103"/>
      <c r="I23" s="150"/>
      <c r="J23" s="289">
        <v>13</v>
      </c>
      <c r="K23" s="126"/>
      <c r="L23" s="106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31.5" customHeight="1">
      <c r="A24" s="102">
        <v>14</v>
      </c>
      <c r="B24" s="292"/>
      <c r="C24" s="128"/>
      <c r="D24" s="128"/>
      <c r="E24" s="128"/>
      <c r="F24" s="126"/>
      <c r="G24" s="103"/>
      <c r="H24" s="103"/>
      <c r="I24" s="150"/>
      <c r="J24" s="289">
        <v>14</v>
      </c>
      <c r="K24" s="126"/>
      <c r="L24" s="106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31.5" customHeight="1">
      <c r="A25" s="102">
        <v>15</v>
      </c>
      <c r="B25" s="292"/>
      <c r="C25" s="128"/>
      <c r="D25" s="128"/>
      <c r="E25" s="128"/>
      <c r="F25" s="126"/>
      <c r="G25" s="103"/>
      <c r="H25" s="103"/>
      <c r="I25" s="150"/>
      <c r="J25" s="289">
        <v>15</v>
      </c>
      <c r="K25" s="126"/>
      <c r="L25" s="106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31.5" customHeight="1">
      <c r="A26" s="102">
        <v>16</v>
      </c>
      <c r="B26" s="292"/>
      <c r="C26" s="128"/>
      <c r="D26" s="128"/>
      <c r="E26" s="128"/>
      <c r="F26" s="126"/>
      <c r="G26" s="103"/>
      <c r="H26" s="103"/>
      <c r="I26" s="150"/>
      <c r="J26" s="289">
        <v>16</v>
      </c>
      <c r="K26" s="126"/>
      <c r="L26" s="106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31.5" customHeight="1">
      <c r="A27" s="102">
        <v>17</v>
      </c>
      <c r="B27" s="292"/>
      <c r="C27" s="128"/>
      <c r="D27" s="128"/>
      <c r="E27" s="128"/>
      <c r="F27" s="126"/>
      <c r="G27" s="103"/>
      <c r="H27" s="103"/>
      <c r="I27" s="150"/>
      <c r="J27" s="289">
        <v>17</v>
      </c>
      <c r="K27" s="126"/>
      <c r="L27" s="106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31.5" customHeight="1">
      <c r="A28" s="102">
        <v>18</v>
      </c>
      <c r="B28" s="292"/>
      <c r="C28" s="128"/>
      <c r="D28" s="128"/>
      <c r="E28" s="128"/>
      <c r="F28" s="126"/>
      <c r="G28" s="103"/>
      <c r="H28" s="103"/>
      <c r="I28" s="150"/>
      <c r="J28" s="289">
        <v>18</v>
      </c>
      <c r="K28" s="126"/>
      <c r="L28" s="106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31.5" customHeight="1">
      <c r="A29" s="102">
        <v>19</v>
      </c>
      <c r="B29" s="292"/>
      <c r="C29" s="128"/>
      <c r="D29" s="128"/>
      <c r="E29" s="128"/>
      <c r="F29" s="126"/>
      <c r="G29" s="103"/>
      <c r="H29" s="103"/>
      <c r="I29" s="150"/>
      <c r="J29" s="289">
        <v>19</v>
      </c>
      <c r="K29" s="126"/>
      <c r="L29" s="106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31.5" customHeight="1">
      <c r="A30" s="102">
        <v>20</v>
      </c>
      <c r="B30" s="292"/>
      <c r="C30" s="128"/>
      <c r="D30" s="128"/>
      <c r="E30" s="128"/>
      <c r="F30" s="126"/>
      <c r="G30" s="103"/>
      <c r="H30" s="103"/>
      <c r="I30" s="150"/>
      <c r="J30" s="289">
        <v>20</v>
      </c>
      <c r="K30" s="126"/>
      <c r="L30" s="106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31.5" customHeight="1">
      <c r="A31" s="102">
        <v>21</v>
      </c>
      <c r="B31" s="292"/>
      <c r="C31" s="128"/>
      <c r="D31" s="128"/>
      <c r="E31" s="128"/>
      <c r="F31" s="126"/>
      <c r="G31" s="103"/>
      <c r="H31" s="103"/>
      <c r="I31" s="150"/>
      <c r="J31" s="289">
        <v>21</v>
      </c>
      <c r="K31" s="126"/>
      <c r="L31" s="106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31.5" customHeight="1">
      <c r="A32" s="102">
        <v>22</v>
      </c>
      <c r="B32" s="292"/>
      <c r="C32" s="128"/>
      <c r="D32" s="128"/>
      <c r="E32" s="128"/>
      <c r="F32" s="126"/>
      <c r="G32" s="103"/>
      <c r="H32" s="103"/>
      <c r="I32" s="150"/>
      <c r="J32" s="289">
        <v>22</v>
      </c>
      <c r="K32" s="126"/>
      <c r="L32" s="106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31.5" customHeight="1">
      <c r="A33" s="102">
        <v>23</v>
      </c>
      <c r="B33" s="292"/>
      <c r="C33" s="128"/>
      <c r="D33" s="128"/>
      <c r="E33" s="128"/>
      <c r="F33" s="126"/>
      <c r="G33" s="103"/>
      <c r="H33" s="103"/>
      <c r="I33" s="150"/>
      <c r="J33" s="289">
        <v>23</v>
      </c>
      <c r="K33" s="126"/>
      <c r="L33" s="106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31.5" customHeight="1">
      <c r="A34" s="102">
        <v>24</v>
      </c>
      <c r="B34" s="292"/>
      <c r="C34" s="128"/>
      <c r="D34" s="128"/>
      <c r="E34" s="128"/>
      <c r="F34" s="126"/>
      <c r="G34" s="103"/>
      <c r="H34" s="103"/>
      <c r="I34" s="150"/>
      <c r="J34" s="289">
        <v>24</v>
      </c>
      <c r="K34" s="126"/>
      <c r="L34" s="106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31.5" customHeight="1">
      <c r="A35" s="102">
        <v>25</v>
      </c>
      <c r="B35" s="292"/>
      <c r="C35" s="128"/>
      <c r="D35" s="128"/>
      <c r="E35" s="128"/>
      <c r="F35" s="126"/>
      <c r="G35" s="103"/>
      <c r="H35" s="103"/>
      <c r="I35" s="151"/>
      <c r="J35" s="289">
        <v>25</v>
      </c>
      <c r="K35" s="126"/>
      <c r="L35" s="112"/>
      <c r="M35" s="113"/>
      <c r="N35" s="113"/>
      <c r="O35" s="113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31.5" customHeight="1">
      <c r="A36" s="299" t="s">
        <v>378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6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31.5" customHeight="1">
      <c r="A37" s="300" t="s">
        <v>381</v>
      </c>
      <c r="B37" s="128"/>
      <c r="C37" s="128"/>
      <c r="D37" s="126"/>
      <c r="E37" s="300" t="s">
        <v>382</v>
      </c>
      <c r="F37" s="128"/>
      <c r="G37" s="128"/>
      <c r="H37" s="128"/>
      <c r="I37" s="128"/>
      <c r="J37" s="126"/>
      <c r="K37" s="300" t="s">
        <v>383</v>
      </c>
      <c r="L37" s="128"/>
      <c r="M37" s="128"/>
      <c r="N37" s="128"/>
      <c r="O37" s="126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31.5" customHeight="1">
      <c r="A38" s="292"/>
      <c r="B38" s="128"/>
      <c r="C38" s="128"/>
      <c r="D38" s="126"/>
      <c r="E38" s="292"/>
      <c r="F38" s="128"/>
      <c r="G38" s="128"/>
      <c r="H38" s="128"/>
      <c r="I38" s="128"/>
      <c r="J38" s="126"/>
      <c r="K38" s="292"/>
      <c r="L38" s="128"/>
      <c r="M38" s="128"/>
      <c r="N38" s="128"/>
      <c r="O38" s="126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31.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J28:K28"/>
    <mergeCell ref="E8:F8"/>
    <mergeCell ref="G8:K8"/>
    <mergeCell ref="I9:I19"/>
    <mergeCell ref="J9:K9"/>
    <mergeCell ref="J10:K10"/>
    <mergeCell ref="J11:K11"/>
    <mergeCell ref="J12:K12"/>
    <mergeCell ref="J19:K19"/>
    <mergeCell ref="J15:K15"/>
    <mergeCell ref="J16:K16"/>
    <mergeCell ref="B15:F15"/>
    <mergeCell ref="B16:F16"/>
    <mergeCell ref="B17:F17"/>
    <mergeCell ref="B18:F18"/>
    <mergeCell ref="B19:F19"/>
    <mergeCell ref="J17:K17"/>
    <mergeCell ref="J18:K18"/>
    <mergeCell ref="I20:I35"/>
    <mergeCell ref="J20:K20"/>
    <mergeCell ref="J21:K21"/>
    <mergeCell ref="J22:K22"/>
    <mergeCell ref="J23:K23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C20:F20"/>
    <mergeCell ref="B21:F21"/>
    <mergeCell ref="B22:F22"/>
    <mergeCell ref="B23:F23"/>
    <mergeCell ref="B24:F24"/>
    <mergeCell ref="A20:B20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E38:J38"/>
    <mergeCell ref="J34:K34"/>
    <mergeCell ref="J35:K35"/>
    <mergeCell ref="K38:O38"/>
    <mergeCell ref="B34:F34"/>
    <mergeCell ref="B35:F35"/>
    <mergeCell ref="A36:O36"/>
    <mergeCell ref="A37:D37"/>
    <mergeCell ref="E37:J37"/>
    <mergeCell ref="K37:O37"/>
    <mergeCell ref="A38:D38"/>
    <mergeCell ref="A1:O1"/>
    <mergeCell ref="A2:O2"/>
    <mergeCell ref="A3:O3"/>
    <mergeCell ref="A4:B4"/>
    <mergeCell ref="C4:D4"/>
    <mergeCell ref="G4:K4"/>
    <mergeCell ref="L4:O4"/>
    <mergeCell ref="A5:B5"/>
    <mergeCell ref="E5:F5"/>
    <mergeCell ref="G5:K5"/>
    <mergeCell ref="L5:O5"/>
    <mergeCell ref="C6:F6"/>
    <mergeCell ref="G6:K6"/>
    <mergeCell ref="L6:O6"/>
    <mergeCell ref="A6:B6"/>
    <mergeCell ref="A7:B7"/>
    <mergeCell ref="E7:F7"/>
    <mergeCell ref="G7:K7"/>
    <mergeCell ref="L7:M7"/>
    <mergeCell ref="N7:O7"/>
    <mergeCell ref="L8:O8"/>
    <mergeCell ref="J13:K13"/>
    <mergeCell ref="J14:K14"/>
    <mergeCell ref="A8:B8"/>
    <mergeCell ref="A9:B9"/>
    <mergeCell ref="C9:F9"/>
    <mergeCell ref="B10:F10"/>
    <mergeCell ref="B11:F11"/>
    <mergeCell ref="B12:F12"/>
    <mergeCell ref="B13:F13"/>
    <mergeCell ref="B14:F14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6" width="14.42578125" customWidth="1"/>
  </cols>
  <sheetData>
    <row r="1" spans="1:26" ht="41.25" customHeight="1">
      <c r="A1" s="294" t="s">
        <v>299</v>
      </c>
      <c r="B1" s="128"/>
      <c r="C1" s="128"/>
      <c r="D1" s="128"/>
      <c r="E1" s="128"/>
      <c r="F1" s="128"/>
      <c r="G1" s="128"/>
      <c r="H1" s="128"/>
      <c r="I1" s="128"/>
      <c r="J1" s="128"/>
      <c r="K1" s="126"/>
      <c r="L1" s="96"/>
      <c r="M1" s="96"/>
      <c r="N1" s="96"/>
      <c r="O1" s="96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>
      <c r="A2" s="314" t="s">
        <v>289</v>
      </c>
      <c r="B2" s="128"/>
      <c r="C2" s="128"/>
      <c r="D2" s="128"/>
      <c r="E2" s="128"/>
      <c r="F2" s="128"/>
      <c r="G2" s="128"/>
      <c r="H2" s="128"/>
      <c r="I2" s="128"/>
      <c r="J2" s="128"/>
      <c r="K2" s="126"/>
      <c r="L2" s="100"/>
      <c r="M2" s="100"/>
      <c r="N2" s="100"/>
      <c r="O2" s="100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6.5">
      <c r="A3" s="315" t="s">
        <v>304</v>
      </c>
      <c r="B3" s="128"/>
      <c r="C3" s="128"/>
      <c r="D3" s="128"/>
      <c r="E3" s="128"/>
      <c r="F3" s="128"/>
      <c r="G3" s="128"/>
      <c r="H3" s="128"/>
      <c r="I3" s="128"/>
      <c r="J3" s="128"/>
      <c r="K3" s="126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25.5" customHeight="1">
      <c r="A4" s="316" t="s">
        <v>307</v>
      </c>
      <c r="B4" s="128"/>
      <c r="C4" s="126"/>
      <c r="D4" s="304" t="s">
        <v>309</v>
      </c>
      <c r="E4" s="128"/>
      <c r="F4" s="128"/>
      <c r="G4" s="128"/>
      <c r="H4" s="128"/>
      <c r="I4" s="128"/>
      <c r="J4" s="128"/>
      <c r="K4" s="12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.5" customHeight="1">
      <c r="A5" s="291" t="s">
        <v>311</v>
      </c>
      <c r="B5" s="128"/>
      <c r="C5" s="126"/>
      <c r="D5" s="299" t="str">
        <f>'Course Information'!$F$5</f>
        <v>2026-27</v>
      </c>
      <c r="E5" s="126"/>
      <c r="F5" s="316" t="s">
        <v>314</v>
      </c>
      <c r="G5" s="126"/>
      <c r="H5" s="317" t="str">
        <f>'Course Information'!N5</f>
        <v>III</v>
      </c>
      <c r="I5" s="128"/>
      <c r="J5" s="128"/>
      <c r="K5" s="12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customHeight="1">
      <c r="A6" s="316" t="s">
        <v>319</v>
      </c>
      <c r="B6" s="128"/>
      <c r="C6" s="126"/>
      <c r="D6" s="211" t="str">
        <f>'Course Information'!$F$6</f>
        <v>DATA STRUCTURE AND APPLICATIONS</v>
      </c>
      <c r="E6" s="128"/>
      <c r="F6" s="128"/>
      <c r="G6" s="128"/>
      <c r="H6" s="128"/>
      <c r="I6" s="128"/>
      <c r="J6" s="128"/>
      <c r="K6" s="12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5.5" customHeight="1">
      <c r="A7" s="291" t="s">
        <v>324</v>
      </c>
      <c r="B7" s="128"/>
      <c r="C7" s="126"/>
      <c r="D7" s="211"/>
      <c r="E7" s="126"/>
      <c r="F7" s="291" t="s">
        <v>325</v>
      </c>
      <c r="G7" s="126"/>
      <c r="H7" s="211" t="str">
        <f>'Course Information'!$F$7</f>
        <v>1BCS305</v>
      </c>
      <c r="I7" s="128"/>
      <c r="J7" s="128"/>
      <c r="K7" s="12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5.5" customHeight="1">
      <c r="A8" s="316" t="s">
        <v>326</v>
      </c>
      <c r="B8" s="128"/>
      <c r="C8" s="126"/>
      <c r="D8" s="211"/>
      <c r="E8" s="126"/>
      <c r="F8" s="316" t="s">
        <v>327</v>
      </c>
      <c r="G8" s="126"/>
      <c r="H8" s="318" t="s">
        <v>328</v>
      </c>
      <c r="I8" s="128"/>
      <c r="J8" s="128"/>
      <c r="K8" s="12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customHeight="1">
      <c r="A9" s="291" t="s">
        <v>329</v>
      </c>
      <c r="B9" s="128"/>
      <c r="C9" s="126"/>
      <c r="D9" s="211" t="str">
        <f>'Course Information'!F8</f>
        <v>Thara K L</v>
      </c>
      <c r="E9" s="126"/>
      <c r="F9" s="291" t="s">
        <v>330</v>
      </c>
      <c r="G9" s="126"/>
      <c r="H9" s="313">
        <v>50</v>
      </c>
      <c r="I9" s="128"/>
      <c r="J9" s="128"/>
      <c r="K9" s="12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>
      <c r="A10" s="291" t="s">
        <v>331</v>
      </c>
      <c r="B10" s="128"/>
      <c r="C10" s="126"/>
      <c r="D10" s="291" t="s">
        <v>332</v>
      </c>
      <c r="E10" s="128"/>
      <c r="F10" s="128"/>
      <c r="G10" s="128"/>
      <c r="H10" s="128"/>
      <c r="I10" s="128"/>
      <c r="J10" s="128"/>
      <c r="K10" s="12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07"/>
      <c r="B11" s="128"/>
      <c r="C11" s="128"/>
      <c r="D11" s="128"/>
      <c r="E11" s="128"/>
      <c r="F11" s="128"/>
      <c r="G11" s="128"/>
      <c r="H11" s="126"/>
      <c r="I11" s="107" t="s">
        <v>333</v>
      </c>
      <c r="J11" s="107" t="s">
        <v>334</v>
      </c>
      <c r="K11" s="107" t="s">
        <v>335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>
      <c r="A12" s="300" t="s">
        <v>336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6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>
      <c r="A13" s="310">
        <v>1</v>
      </c>
      <c r="B13" s="108" t="s">
        <v>337</v>
      </c>
      <c r="C13" s="311" t="s">
        <v>338</v>
      </c>
      <c r="D13" s="190"/>
      <c r="E13" s="190"/>
      <c r="F13" s="190"/>
      <c r="G13" s="190"/>
      <c r="H13" s="138"/>
      <c r="I13" s="69"/>
      <c r="J13" s="69"/>
      <c r="K13" s="69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>
      <c r="A14" s="150"/>
      <c r="B14" s="108" t="s">
        <v>339</v>
      </c>
      <c r="C14" s="139"/>
      <c r="D14" s="144"/>
      <c r="E14" s="144"/>
      <c r="F14" s="144"/>
      <c r="G14" s="144"/>
      <c r="H14" s="140"/>
      <c r="I14" s="69"/>
      <c r="J14" s="69"/>
      <c r="K14" s="6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>
      <c r="A15" s="151"/>
      <c r="B15" s="108" t="s">
        <v>340</v>
      </c>
      <c r="C15" s="141"/>
      <c r="D15" s="145"/>
      <c r="E15" s="145"/>
      <c r="F15" s="145"/>
      <c r="G15" s="145"/>
      <c r="H15" s="142"/>
      <c r="I15" s="69"/>
      <c r="J15" s="69"/>
      <c r="K15" s="69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>
      <c r="A16" s="312" t="s">
        <v>342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6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>
      <c r="A17" s="310">
        <v>2</v>
      </c>
      <c r="B17" s="108" t="s">
        <v>346</v>
      </c>
      <c r="C17" s="311" t="s">
        <v>349</v>
      </c>
      <c r="D17" s="190"/>
      <c r="E17" s="190"/>
      <c r="F17" s="190"/>
      <c r="G17" s="190"/>
      <c r="H17" s="138"/>
      <c r="I17" s="69"/>
      <c r="J17" s="69"/>
      <c r="K17" s="69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>
      <c r="A18" s="150"/>
      <c r="B18" s="108" t="s">
        <v>353</v>
      </c>
      <c r="C18" s="139"/>
      <c r="D18" s="144"/>
      <c r="E18" s="144"/>
      <c r="F18" s="144"/>
      <c r="G18" s="144"/>
      <c r="H18" s="140"/>
      <c r="I18" s="69"/>
      <c r="J18" s="69"/>
      <c r="K18" s="69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>
      <c r="A19" s="151"/>
      <c r="B19" s="108" t="s">
        <v>354</v>
      </c>
      <c r="C19" s="141"/>
      <c r="D19" s="145"/>
      <c r="E19" s="145"/>
      <c r="F19" s="145"/>
      <c r="G19" s="145"/>
      <c r="H19" s="142"/>
      <c r="I19" s="69"/>
      <c r="J19" s="69"/>
      <c r="K19" s="69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>
      <c r="A20" s="300" t="s">
        <v>355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.75" customHeight="1">
      <c r="A21" s="310">
        <v>3</v>
      </c>
      <c r="B21" s="108" t="s">
        <v>356</v>
      </c>
      <c r="C21" s="311" t="s">
        <v>357</v>
      </c>
      <c r="D21" s="190"/>
      <c r="E21" s="190"/>
      <c r="F21" s="190"/>
      <c r="G21" s="190"/>
      <c r="H21" s="138"/>
      <c r="I21" s="69"/>
      <c r="J21" s="69"/>
      <c r="K21" s="69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.75" customHeight="1">
      <c r="A22" s="150"/>
      <c r="B22" s="108" t="s">
        <v>358</v>
      </c>
      <c r="C22" s="139"/>
      <c r="D22" s="144"/>
      <c r="E22" s="144"/>
      <c r="F22" s="144"/>
      <c r="G22" s="144"/>
      <c r="H22" s="140"/>
      <c r="I22" s="69"/>
      <c r="J22" s="69"/>
      <c r="K22" s="69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.75" customHeight="1">
      <c r="A23" s="151"/>
      <c r="B23" s="108" t="s">
        <v>359</v>
      </c>
      <c r="C23" s="141"/>
      <c r="D23" s="145"/>
      <c r="E23" s="145"/>
      <c r="F23" s="145"/>
      <c r="G23" s="145"/>
      <c r="H23" s="142"/>
      <c r="I23" s="69"/>
      <c r="J23" s="69"/>
      <c r="K23" s="69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.75" customHeight="1">
      <c r="A24" s="312" t="s">
        <v>360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6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.75" customHeight="1">
      <c r="A25" s="310">
        <v>4</v>
      </c>
      <c r="B25" s="108" t="s">
        <v>361</v>
      </c>
      <c r="C25" s="311" t="s">
        <v>362</v>
      </c>
      <c r="D25" s="190"/>
      <c r="E25" s="190"/>
      <c r="F25" s="190"/>
      <c r="G25" s="190"/>
      <c r="H25" s="138"/>
      <c r="I25" s="69"/>
      <c r="J25" s="69"/>
      <c r="K25" s="69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.75" customHeight="1">
      <c r="A26" s="150"/>
      <c r="B26" s="108" t="s">
        <v>363</v>
      </c>
      <c r="C26" s="139"/>
      <c r="D26" s="144"/>
      <c r="E26" s="144"/>
      <c r="F26" s="144"/>
      <c r="G26" s="144"/>
      <c r="H26" s="140"/>
      <c r="I26" s="69"/>
      <c r="J26" s="69"/>
      <c r="K26" s="69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.75" customHeight="1">
      <c r="A27" s="151"/>
      <c r="B27" s="108" t="s">
        <v>364</v>
      </c>
      <c r="C27" s="141"/>
      <c r="D27" s="145"/>
      <c r="E27" s="145"/>
      <c r="F27" s="145"/>
      <c r="G27" s="145"/>
      <c r="H27" s="142"/>
      <c r="I27" s="69"/>
      <c r="J27" s="69"/>
      <c r="K27" s="69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.75" customHeight="1">
      <c r="A28" s="300" t="s">
        <v>365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.75" customHeight="1">
      <c r="A29" s="310">
        <v>5</v>
      </c>
      <c r="B29" s="108" t="s">
        <v>366</v>
      </c>
      <c r="C29" s="311" t="s">
        <v>367</v>
      </c>
      <c r="D29" s="190"/>
      <c r="E29" s="190"/>
      <c r="F29" s="190"/>
      <c r="G29" s="190"/>
      <c r="H29" s="138"/>
      <c r="I29" s="69"/>
      <c r="J29" s="69"/>
      <c r="K29" s="69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.75" customHeight="1">
      <c r="A30" s="151"/>
      <c r="B30" s="108" t="s">
        <v>368</v>
      </c>
      <c r="C30" s="141"/>
      <c r="D30" s="145"/>
      <c r="E30" s="145"/>
      <c r="F30" s="145"/>
      <c r="G30" s="145"/>
      <c r="H30" s="142"/>
      <c r="I30" s="69"/>
      <c r="J30" s="69"/>
      <c r="K30" s="69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.75" customHeight="1">
      <c r="A31" s="312" t="s">
        <v>369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.75" customHeight="1">
      <c r="A32" s="310">
        <v>6</v>
      </c>
      <c r="B32" s="108" t="s">
        <v>370</v>
      </c>
      <c r="C32" s="311" t="s">
        <v>371</v>
      </c>
      <c r="D32" s="190"/>
      <c r="E32" s="190"/>
      <c r="F32" s="190"/>
      <c r="G32" s="190"/>
      <c r="H32" s="138"/>
      <c r="I32" s="69"/>
      <c r="J32" s="69"/>
      <c r="K32" s="69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.75" customHeight="1">
      <c r="A33" s="151"/>
      <c r="B33" s="108" t="s">
        <v>372</v>
      </c>
      <c r="C33" s="141"/>
      <c r="D33" s="145"/>
      <c r="E33" s="145"/>
      <c r="F33" s="145"/>
      <c r="G33" s="145"/>
      <c r="H33" s="142"/>
      <c r="I33" s="69"/>
      <c r="J33" s="69"/>
      <c r="K33" s="69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20.25" customHeight="1">
      <c r="A34" s="308" t="s">
        <v>373</v>
      </c>
      <c r="B34" s="128"/>
      <c r="C34" s="128"/>
      <c r="D34" s="126"/>
      <c r="E34" s="201"/>
      <c r="F34" s="128"/>
      <c r="G34" s="128"/>
      <c r="H34" s="128"/>
      <c r="I34" s="128"/>
      <c r="J34" s="128"/>
      <c r="K34" s="12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20.25" customHeight="1">
      <c r="A35" s="308" t="s">
        <v>374</v>
      </c>
      <c r="B35" s="128"/>
      <c r="C35" s="128"/>
      <c r="D35" s="126"/>
      <c r="E35" s="308" t="s">
        <v>375</v>
      </c>
      <c r="F35" s="126"/>
      <c r="G35" s="308" t="s">
        <v>376</v>
      </c>
      <c r="H35" s="128"/>
      <c r="I35" s="128"/>
      <c r="J35" s="128"/>
      <c r="K35" s="12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20.25" customHeight="1">
      <c r="A36" s="309" t="s">
        <v>377</v>
      </c>
      <c r="B36" s="128"/>
      <c r="C36" s="128"/>
      <c r="D36" s="126"/>
      <c r="E36" s="237" t="s">
        <v>379</v>
      </c>
      <c r="F36" s="126"/>
      <c r="G36" s="237" t="s">
        <v>380</v>
      </c>
      <c r="H36" s="128"/>
      <c r="I36" s="128"/>
      <c r="J36" s="128"/>
      <c r="K36" s="12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.75" customHeight="1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.75" customHeight="1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.75" customHeight="1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.75" customHeight="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.75" customHeight="1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.75" customHeight="1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.7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.7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.7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.75" customHeight="1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.75" customHeight="1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.75" customHeight="1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.75" customHeight="1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.75" customHeight="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.75" customHeight="1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.75" customHeight="1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.75" customHeight="1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.75" customHeight="1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.75" customHeight="1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.75" customHeight="1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.75" customHeight="1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.75" customHeight="1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.75" customHeight="1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.75" customHeight="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.75" customHeight="1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.75" customHeight="1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.75" customHeight="1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.75" customHeight="1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.7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.7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.7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.7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.7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.7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.75" customHeight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.75" customHeight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.75" customHeight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.75" customHeight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.75" customHeight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.75" customHeight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.75" customHeight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.75" customHeight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.75" customHeight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.75" customHeight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.75" customHeight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.75" customHeight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.75" customHeight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.75" customHeight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.75" customHeight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.75" customHeight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.75" customHeight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.75" customHeight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.7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.7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.75" customHeight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.7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.7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.75" customHeight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.7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.7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.7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.7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.7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.7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.7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.7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.7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.7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.7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.7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.7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.7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.7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.7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.7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.7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.7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.7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.7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.7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.7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.7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.7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.7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.7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.7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.7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.7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.7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.7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1:K31"/>
    <mergeCell ref="C32:H33"/>
    <mergeCell ref="A29:A30"/>
    <mergeCell ref="A32:A33"/>
    <mergeCell ref="C17:H19"/>
    <mergeCell ref="A20:K20"/>
    <mergeCell ref="A21:A23"/>
    <mergeCell ref="C21:H23"/>
    <mergeCell ref="A24:K24"/>
    <mergeCell ref="A28:K28"/>
    <mergeCell ref="C29:H30"/>
    <mergeCell ref="A7:C7"/>
    <mergeCell ref="D7:E7"/>
    <mergeCell ref="F7:G7"/>
    <mergeCell ref="H7:K7"/>
    <mergeCell ref="A8:C8"/>
    <mergeCell ref="H8:K8"/>
    <mergeCell ref="D8:E8"/>
    <mergeCell ref="F8:G8"/>
    <mergeCell ref="F5:G5"/>
    <mergeCell ref="H5:K5"/>
    <mergeCell ref="A5:C5"/>
    <mergeCell ref="D5:E5"/>
    <mergeCell ref="A6:C6"/>
    <mergeCell ref="D6:K6"/>
    <mergeCell ref="A1:K1"/>
    <mergeCell ref="A2:K2"/>
    <mergeCell ref="A3:K3"/>
    <mergeCell ref="A4:C4"/>
    <mergeCell ref="D4:K4"/>
    <mergeCell ref="A9:C9"/>
    <mergeCell ref="D9:E9"/>
    <mergeCell ref="F9:G9"/>
    <mergeCell ref="H9:K9"/>
    <mergeCell ref="D10:K10"/>
    <mergeCell ref="A10:C10"/>
    <mergeCell ref="A11:H11"/>
    <mergeCell ref="A12:K12"/>
    <mergeCell ref="A35:D35"/>
    <mergeCell ref="A36:D36"/>
    <mergeCell ref="E36:F36"/>
    <mergeCell ref="G36:K36"/>
    <mergeCell ref="A13:A15"/>
    <mergeCell ref="C13:H15"/>
    <mergeCell ref="A16:K16"/>
    <mergeCell ref="A17:A19"/>
    <mergeCell ref="A25:A27"/>
    <mergeCell ref="A34:D34"/>
    <mergeCell ref="E34:K34"/>
    <mergeCell ref="E35:F35"/>
    <mergeCell ref="G35:K35"/>
    <mergeCell ref="C25:H27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5" width="14.42578125" customWidth="1"/>
    <col min="6" max="6" width="39.140625" customWidth="1"/>
    <col min="7" max="7" width="20.42578125" customWidth="1"/>
  </cols>
  <sheetData>
    <row r="1" spans="1:26" ht="23.25">
      <c r="A1" s="294" t="s">
        <v>384</v>
      </c>
      <c r="B1" s="128"/>
      <c r="C1" s="128"/>
      <c r="D1" s="128"/>
      <c r="E1" s="128"/>
      <c r="F1" s="128"/>
      <c r="G1" s="126"/>
      <c r="H1" s="96"/>
      <c r="I1" s="96"/>
      <c r="J1" s="96"/>
      <c r="K1" s="96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>
      <c r="A2" s="314" t="s">
        <v>289</v>
      </c>
      <c r="B2" s="128"/>
      <c r="C2" s="128"/>
      <c r="D2" s="128"/>
      <c r="E2" s="128"/>
      <c r="F2" s="128"/>
      <c r="G2" s="126"/>
      <c r="H2" s="100"/>
      <c r="I2" s="100"/>
      <c r="J2" s="100"/>
      <c r="K2" s="100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>
      <c r="A3" s="321" t="s">
        <v>385</v>
      </c>
      <c r="B3" s="128"/>
      <c r="C3" s="128"/>
      <c r="D3" s="128"/>
      <c r="E3" s="128"/>
      <c r="F3" s="128"/>
      <c r="G3" s="126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>
      <c r="A4" s="321" t="s">
        <v>386</v>
      </c>
      <c r="B4" s="128"/>
      <c r="C4" s="128"/>
      <c r="D4" s="128"/>
      <c r="E4" s="128"/>
      <c r="F4" s="128"/>
      <c r="G4" s="126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22.5" customHeight="1">
      <c r="A5" s="316" t="s">
        <v>387</v>
      </c>
      <c r="B5" s="126"/>
      <c r="C5" s="304" t="s">
        <v>388</v>
      </c>
      <c r="D5" s="128"/>
      <c r="E5" s="128"/>
      <c r="F5" s="128"/>
      <c r="G5" s="126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22.5" customHeight="1">
      <c r="A6" s="291" t="s">
        <v>389</v>
      </c>
      <c r="B6" s="126"/>
      <c r="C6" s="299" t="str">
        <f>'Course Information'!$F$5</f>
        <v>2026-27</v>
      </c>
      <c r="D6" s="126"/>
      <c r="E6" s="114" t="s">
        <v>390</v>
      </c>
      <c r="F6" s="320" t="str">
        <f>'Course Information'!N5</f>
        <v>III</v>
      </c>
      <c r="G6" s="126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22.5" customHeight="1">
      <c r="A7" s="316" t="s">
        <v>391</v>
      </c>
      <c r="B7" s="126"/>
      <c r="C7" s="288" t="str">
        <f>'Course Information'!$F$6</f>
        <v>DATA STRUCTURE AND APPLICATIONS</v>
      </c>
      <c r="D7" s="128"/>
      <c r="E7" s="128"/>
      <c r="F7" s="128"/>
      <c r="G7" s="126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32.25" customHeight="1">
      <c r="A8" s="291" t="s">
        <v>392</v>
      </c>
      <c r="B8" s="126"/>
      <c r="C8" s="288"/>
      <c r="D8" s="126"/>
      <c r="E8" s="99" t="s">
        <v>393</v>
      </c>
      <c r="F8" s="288" t="str">
        <f>'Course Information'!$F$7</f>
        <v>1BCS305</v>
      </c>
      <c r="G8" s="126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22.5" customHeight="1">
      <c r="A9" s="316" t="s">
        <v>394</v>
      </c>
      <c r="B9" s="126"/>
      <c r="C9" s="288"/>
      <c r="D9" s="126"/>
      <c r="E9" s="114" t="s">
        <v>395</v>
      </c>
      <c r="F9" s="288"/>
      <c r="G9" s="126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29.25">
      <c r="A10" s="291" t="s">
        <v>396</v>
      </c>
      <c r="B10" s="126"/>
      <c r="C10" s="288" t="str">
        <f>'Course Information'!F8</f>
        <v>Thara K L</v>
      </c>
      <c r="D10" s="126"/>
      <c r="E10" s="99" t="s">
        <v>397</v>
      </c>
      <c r="F10" s="313">
        <v>50</v>
      </c>
      <c r="G10" s="126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>
      <c r="A11" s="99" t="s">
        <v>398</v>
      </c>
      <c r="B11" s="306" t="s">
        <v>399</v>
      </c>
      <c r="C11" s="128"/>
      <c r="D11" s="128"/>
      <c r="E11" s="128"/>
      <c r="F11" s="126"/>
      <c r="G11" s="94" t="s">
        <v>400</v>
      </c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29.75" customHeight="1">
      <c r="A12" s="305"/>
      <c r="B12" s="319"/>
      <c r="C12" s="190"/>
      <c r="D12" s="190"/>
      <c r="E12" s="190"/>
      <c r="F12" s="138"/>
      <c r="G12" s="305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29.75" customHeight="1">
      <c r="A13" s="151"/>
      <c r="B13" s="141"/>
      <c r="C13" s="145"/>
      <c r="D13" s="145"/>
      <c r="E13" s="145"/>
      <c r="F13" s="142"/>
      <c r="G13" s="151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29.75" customHeight="1">
      <c r="A14" s="305"/>
      <c r="B14" s="319"/>
      <c r="C14" s="190"/>
      <c r="D14" s="190"/>
      <c r="E14" s="190"/>
      <c r="F14" s="138"/>
      <c r="G14" s="305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29.75" customHeight="1">
      <c r="A15" s="151"/>
      <c r="B15" s="141"/>
      <c r="C15" s="145"/>
      <c r="D15" s="145"/>
      <c r="E15" s="145"/>
      <c r="F15" s="142"/>
      <c r="G15" s="151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29.75" customHeight="1">
      <c r="A16" s="305"/>
      <c r="B16" s="319"/>
      <c r="C16" s="190"/>
      <c r="D16" s="190"/>
      <c r="E16" s="190"/>
      <c r="F16" s="138"/>
      <c r="G16" s="305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29.75" customHeight="1">
      <c r="A17" s="151"/>
      <c r="B17" s="141"/>
      <c r="C17" s="145"/>
      <c r="D17" s="145"/>
      <c r="E17" s="145"/>
      <c r="F17" s="142"/>
      <c r="G17" s="151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3.75" customHeight="1">
      <c r="A18" s="304" t="s">
        <v>401</v>
      </c>
      <c r="B18" s="128"/>
      <c r="C18" s="126"/>
      <c r="D18" s="288"/>
      <c r="E18" s="128"/>
      <c r="F18" s="128"/>
      <c r="G18" s="126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53.25" customHeight="1">
      <c r="A19" s="309" t="s">
        <v>402</v>
      </c>
      <c r="B19" s="128"/>
      <c r="C19" s="126"/>
      <c r="D19" s="115" t="s">
        <v>403</v>
      </c>
      <c r="E19" s="237" t="s">
        <v>404</v>
      </c>
      <c r="F19" s="128"/>
      <c r="G19" s="126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75" customHeight="1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7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75" customHeigh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7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7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5.7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7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7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5.7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5.7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C6:D6"/>
    <mergeCell ref="F6:G6"/>
    <mergeCell ref="A1:G1"/>
    <mergeCell ref="A2:G2"/>
    <mergeCell ref="A3:G3"/>
    <mergeCell ref="A4:G4"/>
    <mergeCell ref="A5:B5"/>
    <mergeCell ref="C5:G5"/>
    <mergeCell ref="A6:B6"/>
    <mergeCell ref="B14:F15"/>
    <mergeCell ref="G14:G15"/>
    <mergeCell ref="B16:F17"/>
    <mergeCell ref="G16:G17"/>
    <mergeCell ref="A7:B7"/>
    <mergeCell ref="C7:G7"/>
    <mergeCell ref="A8:B8"/>
    <mergeCell ref="C8:D8"/>
    <mergeCell ref="F8:G8"/>
    <mergeCell ref="A18:C18"/>
    <mergeCell ref="D18:G18"/>
    <mergeCell ref="A19:C19"/>
    <mergeCell ref="E19:G19"/>
    <mergeCell ref="A9:B9"/>
    <mergeCell ref="A10:B10"/>
    <mergeCell ref="C10:D10"/>
    <mergeCell ref="F10:G10"/>
    <mergeCell ref="B11:F11"/>
    <mergeCell ref="B12:F13"/>
    <mergeCell ref="G12:G13"/>
    <mergeCell ref="C9:D9"/>
    <mergeCell ref="F9:G9"/>
    <mergeCell ref="A12:A13"/>
    <mergeCell ref="A14:A15"/>
    <mergeCell ref="A16:A1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Course Information</vt:lpstr>
      <vt:lpstr>Evaluation</vt:lpstr>
      <vt:lpstr>IA1 Attainment</vt:lpstr>
      <vt:lpstr>IA2 Attainment</vt:lpstr>
      <vt:lpstr>Overall Attainment</vt:lpstr>
      <vt:lpstr>Course Closure Report</vt:lpstr>
      <vt:lpstr>IA1 Summary</vt:lpstr>
      <vt:lpstr>IA2 Summary</vt:lpstr>
      <vt:lpstr>Overall Summary</vt:lpstr>
      <vt:lpstr>COs &amp; Mapping</vt:lpstr>
      <vt:lpstr>Justification</vt:lpstr>
      <vt:lpstr>Individual TT</vt:lpstr>
      <vt:lpstr>Lesson_Theory</vt:lpstr>
      <vt:lpstr>Lesson_Lab</vt:lpstr>
      <vt:lpstr>Lesson_IPCC</vt:lpstr>
      <vt:lpstr>Remedial TT</vt:lpstr>
      <vt:lpstr>ATR - Remedial Class</vt:lpstr>
      <vt:lpstr>ATR - Additional Support</vt:lpstr>
      <vt:lpstr>Circular</vt:lpstr>
      <vt:lpstr>Submission</vt:lpstr>
      <vt:lpstr>2022 Scheme_IA_OMR</vt:lpstr>
      <vt:lpstr>2022 Scheme_IA_QP_50 Marks</vt:lpstr>
      <vt:lpstr>2022 Scheme_IA_Scheme_50 Marks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2026-09-02T05:42:48Z</dcterms:modified>
</cp:coreProperties>
</file>